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TEXTURIN-Bali-Purana" sheetId="2" r:id="rId5"/>
    <sheet state="visible" name="HOLLA-Tapres" sheetId="3" r:id="rId6"/>
    <sheet state="visible" name="TEXTURIN-Surabaya-Bu Linda" sheetId="4" r:id="rId7"/>
    <sheet state="visible" name="Meta_Projek" sheetId="5" r:id="rId8"/>
  </sheets>
  <definedNames/>
  <calcPr/>
</workbook>
</file>

<file path=xl/sharedStrings.xml><?xml version="1.0" encoding="utf-8"?>
<sst xmlns="http://schemas.openxmlformats.org/spreadsheetml/2006/main" count="869" uniqueCount="205">
  <si>
    <t>📊 DASHBOARD KEUANGAN</t>
  </si>
  <si>
    <t>Generated by Financial Bot v2.2</t>
  </si>
  <si>
    <t>💰 RINGKASAN GLOBAL</t>
  </si>
  <si>
    <t>📊 STATUS BUDGET</t>
  </si>
  <si>
    <t>Total Pengeluaran:</t>
  </si>
  <si>
    <t>Budget Default:</t>
  </si>
  <si>
    <t>Total Pemasukan:</t>
  </si>
  <si>
    <t>Sisa Budget:</t>
  </si>
  <si>
    <t>Saldo (Net):</t>
  </si>
  <si>
    <t>Persen Terpakai:</t>
  </si>
  <si>
    <t>%</t>
  </si>
  <si>
    <t>📋 DATA PER PROJECT</t>
  </si>
  <si>
    <t>No</t>
  </si>
  <si>
    <t>Nama Project</t>
  </si>
  <si>
    <t>Total Pengeluaran</t>
  </si>
  <si>
    <t>Total Pemasukan</t>
  </si>
  <si>
    <t>Saldo</t>
  </si>
  <si>
    <t>Jumlah Transaksi</t>
  </si>
  <si>
    <t>TEXTURIN-Bali-Purana</t>
  </si>
  <si>
    <t>HOLLA-Tapres</t>
  </si>
  <si>
    <t>TEXTURIN-Surabaya-Bu Linda</t>
  </si>
  <si>
    <t>📁 BREAKDOWN PER KATEGORI (ALL PROJECTS)</t>
  </si>
  <si>
    <t>Kategori</t>
  </si>
  <si>
    <t>Persentase</t>
  </si>
  <si>
    <t>Bahan</t>
  </si>
  <si>
    <t>Alat</t>
  </si>
  <si>
    <t>Operasional</t>
  </si>
  <si>
    <t>Gaji</t>
  </si>
  <si>
    <t>Tanggal</t>
  </si>
  <si>
    <t>Keterangan</t>
  </si>
  <si>
    <t>Jumlah</t>
  </si>
  <si>
    <t>Tipe</t>
  </si>
  <si>
    <t>Oleh</t>
  </si>
  <si>
    <t>Source</t>
  </si>
  <si>
    <t>Pembelian batu alam dekorasi</t>
  </si>
  <si>
    <t>Pengeluaran</t>
  </si>
  <si>
    <t>Naufalspurnomo. 🐾</t>
  </si>
  <si>
    <t>Text</t>
  </si>
  <si>
    <t>Pembayaran upah tukang ukir</t>
  </si>
  <si>
    <t>Sewa alat pemotong keramik</t>
  </si>
  <si>
    <t>App</t>
  </si>
  <si>
    <t>Biaya kurir dokumen penting</t>
  </si>
  <si>
    <t>Image</t>
  </si>
  <si>
    <t>Pembelian teraso dan adukan instan</t>
  </si>
  <si>
    <t>Uang transport pekerja harian</t>
  </si>
  <si>
    <t>Pembelian waterpass digital</t>
  </si>
  <si>
    <t>Biaya pemeliharaan situs proyek</t>
  </si>
  <si>
    <t>Pembelian gypsum board</t>
  </si>
  <si>
    <t>Pembayaran upah tukang plester</t>
  </si>
  <si>
    <t>Beli safety harness untuk ketinggian</t>
  </si>
  <si>
    <t>Biaya rapat dengan subkontraktor</t>
  </si>
  <si>
    <t>Pembelian paku beton dan sekrup</t>
  </si>
  <si>
    <t>Penerimaan dana termin 2 (Bali-Purana)</t>
  </si>
  <si>
    <t>Pemasukan</t>
  </si>
  <si>
    <t>Pembelian mesin vibrator beton</t>
  </si>
  <si>
    <t>Pembayaran gaji supervisor lapangan</t>
  </si>
  <si>
    <t>Biaya pengurusan izin lingkungan</t>
  </si>
  <si>
    <t>Beli kaca tebal untuk fasad</t>
  </si>
  <si>
    <t>Pembelian sepatu boot safety</t>
  </si>
  <si>
    <t>Pembayaran upah tukang pasang baja ringan</t>
  </si>
  <si>
    <t>Pembelian handle pintu dan kunci</t>
  </si>
  <si>
    <t>Isi ulang token listrik proyek</t>
  </si>
  <si>
    <t>Sewa jackhammer 1 hari</t>
  </si>
  <si>
    <t>Biaya konsumsi lembur pekerja</t>
  </si>
  <si>
    <t>Pembelian cat primer anti karat</t>
  </si>
  <si>
    <t>Pembayaran gaji kepala proyek</t>
  </si>
  <si>
    <t>Pembelian mesin las portable</t>
  </si>
  <si>
    <t>Biaya kebersihan akhir proyek</t>
  </si>
  <si>
    <t>Beli waterproofing membrane</t>
  </si>
  <si>
    <t>Pembayaran upah finishing (final touch)</t>
  </si>
  <si>
    <t>Pembelian semen dan pasir</t>
  </si>
  <si>
    <t>Pembayaran upah harian pekerja A</t>
  </si>
  <si>
    <t>Beli cat tembok interior</t>
  </si>
  <si>
    <t>Biaya transportasi logistik</t>
  </si>
  <si>
    <t>Pembelian bor listrik baru</t>
  </si>
  <si>
    <t>Gaji mandor proyek</t>
  </si>
  <si>
    <t>Isi ulang pulsa komunikasi proyek</t>
  </si>
  <si>
    <t>Pembelian pipa PVC</t>
  </si>
  <si>
    <t>Sewa scaffolding 1 minggu</t>
  </si>
  <si>
    <t>Biaya makan siang (katering)</t>
  </si>
  <si>
    <t>Pembelian kawat dan paku</t>
  </si>
  <si>
    <t>Pembayaran listrik bulanan kantor proyek</t>
  </si>
  <si>
    <t>Pembelian mesin gerinda</t>
  </si>
  <si>
    <t>Pembayaran upah pekerja B</t>
  </si>
  <si>
    <t>Beli kayu balok</t>
  </si>
  <si>
    <t>Biaya perizinan awal proyek</t>
  </si>
  <si>
    <t>Pembelian helm dan sarung tangan keselamatan</t>
  </si>
  <si>
    <t>Pembayaran gaji staf administrasi</t>
  </si>
  <si>
    <t>Servis kendaraan operasional</t>
  </si>
  <si>
    <t>Pembelian keramik lantai</t>
  </si>
  <si>
    <t>Beli sekop dan ember</t>
  </si>
  <si>
    <t>Uang lembur tukang</t>
  </si>
  <si>
    <t>Biaya cetak dokumen kontrak</t>
  </si>
  <si>
    <t>Pembelian kabel listrik</t>
  </si>
  <si>
    <t>Pembayaran gaji bulanan</t>
  </si>
  <si>
    <t>Pengadaan laptop baru untuk surveyor</t>
  </si>
  <si>
    <t>Pembelian besi beton</t>
  </si>
  <si>
    <t>Biaya rapat koordinasi (snack)</t>
  </si>
  <si>
    <t>Pembayaran upah tukang batu</t>
  </si>
  <si>
    <t>Beli pipa tembaga</t>
  </si>
  <si>
    <t>Penggantian mata bor yang rusak</t>
  </si>
  <si>
    <t>Pembayaran bensin kendaraan proyek</t>
  </si>
  <si>
    <t>Pembelian lem kayu</t>
  </si>
  <si>
    <t>Pembayaran upah pekerja C</t>
  </si>
  <si>
    <t>Pembelian meteran laser</t>
  </si>
  <si>
    <t>Biaya keamanan proyek (satpam)</t>
  </si>
  <si>
    <t>Pembelian aspal cair</t>
  </si>
  <si>
    <t>Pembelian palu dan tang</t>
  </si>
  <si>
    <t>Bonus pencapaian target proyek</t>
  </si>
  <si>
    <t>Biaya sewa genset 2 hari</t>
  </si>
  <si>
    <t>Pembelian saklar dan stop kontak</t>
  </si>
  <si>
    <t>Biaya fotokopi dan ATK</t>
  </si>
  <si>
    <t>Pembayaran upah tukang cat</t>
  </si>
  <si>
    <t>Pembelian kuas dan roller cat</t>
  </si>
  <si>
    <t>Transfer dana dari klien HOLLA</t>
  </si>
  <si>
    <t>Beli penutup terpal</t>
  </si>
  <si>
    <t>Pembayaran air proyek</t>
  </si>
  <si>
    <t>Pembelian tangki air plastik</t>
  </si>
  <si>
    <t>Uang makan lembur malam</t>
  </si>
  <si>
    <t>Pembayaran upah pekerja D</t>
  </si>
  <si>
    <t>Pembelian baja ringan</t>
  </si>
  <si>
    <t>Pembelian kunci pas set</t>
  </si>
  <si>
    <t>Gaji konsultan teknik</t>
  </si>
  <si>
    <t>Biaya langganan internet kantor proyek</t>
  </si>
  <si>
    <t>Pembelian pipa drainase</t>
  </si>
  <si>
    <t>Pembelian gergaji tangan</t>
  </si>
  <si>
    <t>Pengembalian dana kelebihan material</t>
  </si>
  <si>
    <t>Pembayaran iuran keamanan lingkungan</t>
  </si>
  <si>
    <t>Pembelian ubin kamar mandi</t>
  </si>
  <si>
    <t>Pembayaran upah tukang kayu</t>
  </si>
  <si>
    <t>Pembelian selang air panjang</t>
  </si>
  <si>
    <t>Biaya parkir dan tol operasional</t>
  </si>
  <si>
    <t>Beli lampu dan fitting</t>
  </si>
  <si>
    <t>Pembelian tangga lipat aluminium</t>
  </si>
  <si>
    <t>Uang saku tim survei lapangan</t>
  </si>
  <si>
    <t>Pembelian engsel pintu</t>
  </si>
  <si>
    <t>Biaya sewa mobil proyek 3 hari</t>
  </si>
  <si>
    <t>Pembelian level air</t>
  </si>
  <si>
    <t>Pembayaran upah harian pekerja E</t>
  </si>
  <si>
    <t>Beli thinner dan cairan pembersih</t>
  </si>
  <si>
    <t>Pembelian kamera pengawas proyek</t>
  </si>
  <si>
    <t>Biaya pengiriman material</t>
  </si>
  <si>
    <t>Pembelian gipsum</t>
  </si>
  <si>
    <t>Pembayaran upah tukang listrik</t>
  </si>
  <si>
    <t>Pembelian masker dan safety glasses</t>
  </si>
  <si>
    <t>Biaya perbaikan kecil kantor</t>
  </si>
  <si>
    <t>Pembelian baut dan mur berbagai ukuran</t>
  </si>
  <si>
    <t>Pembelian toolkit mekanik</t>
  </si>
  <si>
    <t>Gaji bulanan tim IT pendukung</t>
  </si>
  <si>
    <t>Biaya kebersihan area proyek</t>
  </si>
  <si>
    <t>Pembelian dempul dan plamir</t>
  </si>
  <si>
    <t>Pengadaan komputer baru untuk CAD</t>
  </si>
  <si>
    <t>Pembayaran cicilan peralatan berat</t>
  </si>
  <si>
    <t>Pembayaran upah tukang ledeng</t>
  </si>
  <si>
    <t>Biaya perjamuan tamu penting</t>
  </si>
  <si>
    <t>Pembelian bata merah</t>
  </si>
  <si>
    <t>Pembelian GPS tracker untuk kendaraan</t>
  </si>
  <si>
    <t>Biaya keamanan tambahan (lembur)</t>
  </si>
  <si>
    <t>Pembayaran upah pekerja F</t>
  </si>
  <si>
    <t>Pembelian pintu kayu solid</t>
  </si>
  <si>
    <t>Pembelian seragam kerja baru</t>
  </si>
  <si>
    <t>Pembelian dongkrak hidrolik</t>
  </si>
  <si>
    <t>Pembayaran iuran BPJS karyawan</t>
  </si>
  <si>
    <t>Beli sealant anti bocor</t>
  </si>
  <si>
    <t>Biaya perpanjangan lisensi software</t>
  </si>
  <si>
    <t>Pembelian kompresor angin</t>
  </si>
  <si>
    <t>Pembayaran upah tukang las</t>
  </si>
  <si>
    <t>Beli kaca jendela</t>
  </si>
  <si>
    <t>Penggantian oli dan filter mesin</t>
  </si>
  <si>
    <t>Penerimaan dana termin proyek</t>
  </si>
  <si>
    <t>Laptop</t>
  </si>
  <si>
    <t>Pembelian kain tenun motif untuk interior</t>
  </si>
  <si>
    <t>Pembayaran upah tukang jahit gorden</t>
  </si>
  <si>
    <t>Sewa mesin bordir digital 3 hari</t>
  </si>
  <si>
    <t>Biaya fotokopi desain dan pola</t>
  </si>
  <si>
    <t>Pembelian benang sulam warna-warni</t>
  </si>
  <si>
    <t>Uang makan siang tim desain</t>
  </si>
  <si>
    <t>Pembelian gunting kain dan alat ukur presisi</t>
  </si>
  <si>
    <t>Pembayaran gaji desainer tekstil</t>
  </si>
  <si>
    <t>Beli bahan kimia pewarna tekstil (fixed color)</t>
  </si>
  <si>
    <t>Biaya pengiriman sampel material ke klien</t>
  </si>
  <si>
    <t>Pembelian mesin obras industri</t>
  </si>
  <si>
    <t>Uang lembur tim produksi malam</t>
  </si>
  <si>
    <t>Pembelian busa pelapis untuk kursi</t>
  </si>
  <si>
    <t>Biaya perbaikan AC kantor Surabaya</t>
  </si>
  <si>
    <t>Pembayaran gaji staf marketing bulanan</t>
  </si>
  <si>
    <t>Pembelian kanvas untuk lukisan dinding</t>
  </si>
  <si>
    <t>Beli proyektor mini untuk presentasi</t>
  </si>
  <si>
    <t>Biaya langganan software desain grafis</t>
  </si>
  <si>
    <t>Pembayaran upah tukang pasang wallpaper</t>
  </si>
  <si>
    <t>Pembelian bahan baku kulit sintetis</t>
  </si>
  <si>
    <t>Pengadaan kamera DSLR untuk dokumentasi proyek</t>
  </si>
  <si>
    <t>Biaya konsultasi hukum kontrak</t>
  </si>
  <si>
    <t>Pembayaran upah magang desain</t>
  </si>
  <si>
    <t>Beli lem khusus tekstil dan kulit</t>
  </si>
  <si>
    <t>Pembelian mesin pembersih karpet industri</t>
  </si>
  <si>
    <t>Biaya perjalanan dinas ke Jakarta (Surabaya)</t>
  </si>
  <si>
    <t>Pembayaran upah teknisi mesin produksi</t>
  </si>
  <si>
    <t>Pembelian manekin display produk tekstil</t>
  </si>
  <si>
    <t>Penerimaan dana pelunasan dari Bu Linda</t>
  </si>
  <si>
    <t>Pembelian lakban dan material packaging</t>
  </si>
  <si>
    <t>Project</t>
  </si>
  <si>
    <t>LastSync</t>
  </si>
  <si>
    <t>TotalTransaksi</t>
  </si>
  <si>
    <t>TotalPengeluaran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</si>
</sst>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Rp &quot;#,##0"/>
    <numFmt numFmtId="165" formatCode="0.0&quot;%&quot;"/>
    <numFmt numFmtId="166" formatCode="yyyy-mm-dd"/>
    <numFmt numFmtId="167" formatCode="M/d/yyyy"/>
    <numFmt numFmtId="168" formatCode="yyyy-mm-dd h:mm"/>
  </numFmts>
  <fonts count="12">
    <font>
      <sz val="10.0"/>
      <color rgb="FF000000"/>
      <name val="Arial"/>
      <scheme val="minor"/>
    </font>
    <font>
      <b/>
      <sz val="24.0"/>
      <color rgb="FFFFFFFF"/>
      <name val="Arial"/>
      <scheme val="minor"/>
    </font>
    <font>
      <i/>
      <sz val="10.0"/>
      <color rgb="FF33C659"/>
      <name val="Arial"/>
      <scheme val="minor"/>
    </font>
    <font>
      <color theme="1"/>
      <name val="Arial"/>
      <scheme val="minor"/>
    </font>
    <font>
      <b/>
      <sz val="9.0"/>
      <color rgb="FF3D4F6B"/>
      <name val="Arial"/>
      <scheme val="minor"/>
    </font>
    <font>
      <b/>
      <sz val="16.0"/>
      <color rgb="FF33C659"/>
      <name val="Arial"/>
      <scheme val="minor"/>
    </font>
    <font>
      <b/>
      <sz val="16.0"/>
      <color rgb="FFF24235"/>
      <name val="Arial"/>
      <scheme val="minor"/>
    </font>
    <font>
      <b/>
      <sz val="16.0"/>
      <color rgb="FF3F8EF7"/>
      <name val="Arial"/>
      <scheme val="minor"/>
    </font>
    <font>
      <b/>
      <sz val="16.0"/>
      <color rgb="FF1E2844"/>
      <name val="Arial"/>
      <scheme val="minor"/>
    </font>
    <font>
      <b/>
      <sz val="12.0"/>
      <color rgb="FFFFFFFF"/>
      <name val="Arial"/>
      <scheme val="minor"/>
    </font>
    <font>
      <b/>
      <sz val="10.0"/>
      <color rgb="FF1E2844"/>
      <name val="Arial"/>
      <scheme val="minor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1E2844"/>
        <bgColor rgb="FF1E2844"/>
      </patternFill>
    </fill>
    <fill>
      <patternFill patternType="solid">
        <fgColor rgb="FFF2F4F7"/>
        <bgColor rgb="FFF2F4F7"/>
      </patternFill>
    </fill>
    <fill>
      <patternFill patternType="solid">
        <fgColor rgb="FFFFFFFF"/>
        <bgColor rgb="FFFFFFFF"/>
      </patternFill>
    </fill>
    <fill>
      <patternFill patternType="solid">
        <fgColor rgb="FFFFCC00"/>
        <bgColor rgb="FFFFCC00"/>
      </patternFill>
    </fill>
    <fill>
      <patternFill patternType="solid">
        <fgColor rgb="FF3D4F6B"/>
        <bgColor rgb="FF3D4F6B"/>
      </patternFill>
    </fill>
    <fill>
      <patternFill patternType="solid">
        <fgColor rgb="FF336699"/>
        <bgColor rgb="FF336699"/>
      </patternFill>
    </fill>
  </fills>
  <borders count="2">
    <border/>
    <border>
      <bottom style="medium">
        <color rgb="FF1E2844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3" fontId="4" numFmtId="0" xfId="0" applyAlignment="1" applyFont="1">
      <alignment horizontal="center" readingOrder="0"/>
    </xf>
    <xf borderId="0" fillId="4" fontId="5" numFmtId="164" xfId="0" applyAlignment="1" applyFill="1" applyFont="1" applyNumberFormat="1">
      <alignment horizontal="center"/>
    </xf>
    <xf borderId="0" fillId="4" fontId="6" numFmtId="164" xfId="0" applyAlignment="1" applyFont="1" applyNumberFormat="1">
      <alignment horizontal="center" readingOrder="0"/>
    </xf>
    <xf borderId="0" fillId="4" fontId="7" numFmtId="164" xfId="0" applyAlignment="1" applyFont="1" applyNumberFormat="1">
      <alignment horizontal="center"/>
    </xf>
    <xf borderId="0" fillId="5" fontId="8" numFmtId="0" xfId="0" applyAlignment="1" applyFill="1" applyFont="1">
      <alignment horizontal="center"/>
    </xf>
    <xf borderId="0" fillId="0" fontId="3" numFmtId="0" xfId="0" applyFont="1"/>
    <xf borderId="0" fillId="6" fontId="9" numFmtId="0" xfId="0" applyAlignment="1" applyFill="1" applyFont="1">
      <alignment horizontal="left" readingOrder="0"/>
    </xf>
    <xf borderId="1" fillId="3" fontId="10" numFmtId="0" xfId="0" applyAlignment="1" applyBorder="1" applyFont="1">
      <alignment horizontal="center" readingOrder="0"/>
    </xf>
    <xf borderId="0" fillId="3" fontId="3" numFmtId="0" xfId="0" applyAlignment="1" applyFont="1">
      <alignment horizontal="left" readingOrder="0"/>
    </xf>
    <xf borderId="0" fillId="3" fontId="3" numFmtId="164" xfId="0" applyAlignment="1" applyFont="1" applyNumberFormat="1">
      <alignment horizontal="right" readingOrder="0"/>
    </xf>
    <xf borderId="0" fillId="3" fontId="3" numFmtId="0" xfId="0" applyAlignment="1" applyFont="1">
      <alignment horizontal="right" readingOrder="0"/>
    </xf>
    <xf borderId="0" fillId="3" fontId="3" numFmtId="164" xfId="0" applyAlignment="1" applyFont="1" applyNumberFormat="1">
      <alignment horizontal="right"/>
    </xf>
    <xf borderId="0" fillId="3" fontId="3" numFmtId="165" xfId="0" applyAlignment="1" applyFont="1" applyNumberFormat="1">
      <alignment horizontal="right"/>
    </xf>
    <xf borderId="0" fillId="4" fontId="3" numFmtId="0" xfId="0" applyAlignment="1" applyFont="1">
      <alignment horizontal="left" readingOrder="0"/>
    </xf>
    <xf borderId="0" fillId="4" fontId="3" numFmtId="164" xfId="0" applyAlignment="1" applyFont="1" applyNumberFormat="1">
      <alignment horizontal="right" readingOrder="0"/>
    </xf>
    <xf borderId="0" fillId="4" fontId="3" numFmtId="164" xfId="0" applyAlignment="1" applyFont="1" applyNumberFormat="1">
      <alignment horizontal="right"/>
    </xf>
    <xf borderId="0" fillId="4" fontId="3" numFmtId="0" xfId="0" applyAlignment="1" applyFont="1">
      <alignment horizontal="right"/>
    </xf>
    <xf borderId="0" fillId="4" fontId="3" numFmtId="165" xfId="0" applyAlignment="1" applyFont="1" applyNumberFormat="1">
      <alignment horizontal="right"/>
    </xf>
    <xf borderId="0" fillId="3" fontId="3" numFmtId="0" xfId="0" applyAlignment="1" applyFont="1">
      <alignment horizontal="right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0" fontId="3" numFmtId="0" xfId="0" applyAlignment="1" applyFont="1">
      <alignment horizontal="left" readingOrder="0" shrinkToFit="0" wrapText="1"/>
    </xf>
    <xf borderId="0" fillId="0" fontId="3" numFmtId="0" xfId="0" applyAlignment="1" applyFont="1">
      <alignment readingOrder="0" shrinkToFit="0" wrapText="0"/>
    </xf>
    <xf borderId="0" fillId="0" fontId="3" numFmtId="166" xfId="0" applyAlignment="1" applyFont="1" applyNumberFormat="1">
      <alignment shrinkToFit="0" wrapText="0"/>
    </xf>
    <xf borderId="0" fillId="0" fontId="3" numFmtId="0" xfId="0" applyAlignment="1" applyFont="1">
      <alignment shrinkToFit="0" wrapText="1"/>
    </xf>
    <xf borderId="0" fillId="0" fontId="3" numFmtId="3" xfId="0" applyAlignment="1" applyFont="1" applyNumberFormat="1">
      <alignment readingOrder="0" shrinkToFit="0" wrapText="0"/>
    </xf>
    <xf borderId="0" fillId="0" fontId="3" numFmtId="0" xfId="0" applyAlignment="1" applyFont="1">
      <alignment shrinkToFit="0" wrapText="0"/>
    </xf>
    <xf borderId="0" fillId="0" fontId="3" numFmtId="167" xfId="0" applyAlignment="1" applyFont="1" applyNumberFormat="1">
      <alignment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shrinkToFit="0" wrapText="0"/>
    </xf>
    <xf borderId="0" fillId="0" fontId="3" numFmtId="166" xfId="0" applyAlignment="1" applyFont="1" applyNumberFormat="1">
      <alignment readingOrder="0"/>
    </xf>
    <xf borderId="0" fillId="7" fontId="11" numFmtId="0" xfId="0" applyAlignment="1" applyFill="1" applyFont="1">
      <alignment readingOrder="0"/>
    </xf>
    <xf borderId="0" fillId="0" fontId="3" numFmtId="168" xfId="0" applyAlignment="1" applyFont="1" applyNumberForma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2.38"/>
    <col customWidth="1" min="3" max="3" width="14.0"/>
    <col customWidth="1" min="4" max="4" width="13.5"/>
    <col customWidth="1" min="5" max="5" width="19.13"/>
    <col customWidth="1" min="6" max="6" width="13.63"/>
    <col customWidth="1" min="7" max="7" width="2.13"/>
    <col customWidth="1" min="8" max="8" width="13.88"/>
    <col customWidth="1" min="9" max="10" width="12.63"/>
  </cols>
  <sheetData>
    <row r="1" ht="37.5" customHeight="1">
      <c r="A1" s="1" t="s">
        <v>0</v>
      </c>
    </row>
    <row r="2">
      <c r="A2" s="2" t="s">
        <v>1</v>
      </c>
    </row>
    <row r="4">
      <c r="A4" s="3" t="s">
        <v>2</v>
      </c>
      <c r="B4" s="4"/>
      <c r="E4" s="4" t="s">
        <v>3</v>
      </c>
      <c r="H4" s="4"/>
      <c r="K4" s="4"/>
    </row>
    <row r="5">
      <c r="A5" s="3" t="s">
        <v>4</v>
      </c>
      <c r="B5" s="5" t="str">
        <f>SUMIF(INDIRECT('TEXTURIN-Bali-Purana'&amp;"!E:E"),"Pengeluaran",INDIRECT('TEXTURIN-Bali-Purana'&amp;"!D:D"))+SUMIF(INDIRECT('HOLLA-Tapres'&amp;"!E:E"),"Pengeluaran",INDIRECT('HOLLA-Tapres'&amp;"!D:D"))+SUMIF(INDIRECT('TEXTURIN-Surabaya-Bu Linda'&amp;"!E:E"),"Pengeluaran",INDIRECT('TEXTURIN-Surabaya-Bu Linda'&amp;"!D:D"))</f>
        <v>#ERROR!</v>
      </c>
      <c r="E5" s="6" t="s">
        <v>5</v>
      </c>
      <c r="H5" s="7"/>
      <c r="K5" s="8"/>
    </row>
    <row r="6">
      <c r="A6" s="3" t="s">
        <v>6</v>
      </c>
      <c r="B6" s="9" t="str">
        <f>SUMIF(INDIRECT('TEXTURIN-Bali-Purana'&amp;"!E:E"),"Pemasukan",INDIRECT('TEXTURIN-Bali-Purana'&amp;"!D:D"))+SUMIF(INDIRECT('HOLLA-Tapres'&amp;"!E:E"),"Pemasukan",INDIRECT('HOLLA-Tapres'&amp;"!D:D"))+SUMIF(INDIRECT('TEXTURIN-Surabaya-Bu Linda'&amp;"!E:E"),"Pemasukan",INDIRECT('TEXTURIN-Surabaya-Bu Linda'&amp;"!D:D"))</f>
        <v>#ERROR!</v>
      </c>
      <c r="E6" s="3" t="s">
        <v>7</v>
      </c>
      <c r="F6" s="9" t="str">
        <f>F6-B5</f>
        <v>#REF!</v>
      </c>
    </row>
    <row r="7">
      <c r="A7" s="3" t="s">
        <v>8</v>
      </c>
      <c r="B7" s="9" t="str">
        <f>B6-B5</f>
        <v>#ERROR!</v>
      </c>
      <c r="E7" s="3" t="s">
        <v>9</v>
      </c>
      <c r="F7" s="9">
        <f>IF(F5&gt;0,B5/F5*100,0)</f>
        <v>0</v>
      </c>
      <c r="G7" s="3" t="s">
        <v>10</v>
      </c>
    </row>
    <row r="8">
      <c r="A8" s="10"/>
      <c r="H8" s="10"/>
    </row>
    <row r="9">
      <c r="A9" s="11" t="s">
        <v>11</v>
      </c>
      <c r="B9" s="11"/>
      <c r="C9" s="11"/>
      <c r="D9" s="11"/>
      <c r="E9" s="11"/>
      <c r="F9" s="11"/>
      <c r="H9" s="11"/>
      <c r="I9" s="11"/>
      <c r="J9" s="11"/>
    </row>
    <row r="10">
      <c r="A10" s="12" t="s">
        <v>12</v>
      </c>
      <c r="B10" s="13" t="s">
        <v>13</v>
      </c>
      <c r="C10" s="13" t="s">
        <v>14</v>
      </c>
      <c r="D10" s="13" t="s">
        <v>15</v>
      </c>
      <c r="E10" s="14" t="s">
        <v>16</v>
      </c>
      <c r="F10" s="14" t="s">
        <v>17</v>
      </c>
      <c r="H10" s="12"/>
      <c r="I10" s="15"/>
      <c r="J10" s="16"/>
    </row>
    <row r="11">
      <c r="A11" s="17">
        <v>1.0</v>
      </c>
      <c r="B11" s="18" t="s">
        <v>18</v>
      </c>
      <c r="C11" s="19" t="str">
        <f>SUMIF(INDIRECT('TEXTURIN-Bali-Purana'&amp;"!E:E"),"Pengeluaran",INDIRECT('TEXTURIN-Bali-Purana'&amp;"!D:D"))</f>
        <v>#ERROR!</v>
      </c>
      <c r="D11" s="19" t="str">
        <f>SUMIF(INDIRECT('TEXTURIN-Bali-Purana'&amp;"!E:E"),"Pemasukan",INDIRECT('TEXTURIN-Bali-Purana'&amp;"!D:D"))</f>
        <v>#ERROR!</v>
      </c>
      <c r="E11" s="20" t="str">
        <f t="shared" ref="E11:E12" si="1">D12-C12</f>
        <v>#ERROR!</v>
      </c>
      <c r="F11" s="20" t="str">
        <f>COUNTA(INDIRECT('TEXTURIN-Bali-Purana'&amp;"!A:A"))-1</f>
        <v>#ERROR!</v>
      </c>
      <c r="H11" s="17"/>
      <c r="I11" s="19"/>
      <c r="J11" s="21"/>
    </row>
    <row r="12">
      <c r="A12" s="12">
        <v>2.0</v>
      </c>
      <c r="B12" s="13" t="s">
        <v>19</v>
      </c>
      <c r="C12" s="15" t="str">
        <f>SUMIF(INDIRECT('HOLLA-Tapres'&amp;"!E:E"),"Pengeluaran",INDIRECT('HOLLA-Tapres'&amp;"!D:D"))</f>
        <v>#ERROR!</v>
      </c>
      <c r="D12" s="15" t="str">
        <f>SUMIF(INDIRECT('HOLLA-Tapres'&amp;"!E:E"),"Pemasukan",INDIRECT('HOLLA-Tapres'&amp;"!D:D"))</f>
        <v>#ERROR!</v>
      </c>
      <c r="E12" s="22" t="str">
        <f t="shared" si="1"/>
        <v>#ERROR!</v>
      </c>
      <c r="F12" s="22" t="str">
        <f>COUNTA(INDIRECT('HOLLA-Tapres'&amp;"!A:A"))-1</f>
        <v>#ERROR!</v>
      </c>
      <c r="H12" s="12"/>
      <c r="I12" s="15"/>
      <c r="J12" s="16"/>
    </row>
    <row r="13">
      <c r="A13" s="23">
        <v>3.0</v>
      </c>
      <c r="B13" s="3" t="s">
        <v>20</v>
      </c>
      <c r="C13" s="9" t="str">
        <f>SUMIF(INDIRECT('TEXTURIN-Surabaya-Bu Linda'&amp;"!E:E"),"Pengeluaran",INDIRECT('TEXTURIN-Surabaya-Bu Linda'&amp;"!D:D"))</f>
        <v>#ERROR!</v>
      </c>
      <c r="D13" s="9" t="str">
        <f>SUMIF(INDIRECT('TEXTURIN-Surabaya-Bu Linda'&amp;"!E:E"),"Pemasukan",INDIRECT('TEXTURIN-Surabaya-Bu Linda'&amp;"!D:D"))</f>
        <v>#ERROR!</v>
      </c>
      <c r="E13" s="9" t="str">
        <f>SUMIF(INDIRECT('TEXTURIN-Surabaya-Bu Linda'&amp;"!E:E"),"Pemasukan",INDIRECT('TEXTURIN-Surabaya-Bu Linda'&amp;"!D:D"))</f>
        <v>#ERROR!</v>
      </c>
      <c r="F13" s="9" t="str">
        <f>COUNTA(INDIRECT('TEXTURIN-Surabaya-Bu Linda'&amp;"!A:A"))-1</f>
        <v>#ERROR!</v>
      </c>
      <c r="H13" s="17"/>
      <c r="I13" s="19"/>
      <c r="J13" s="21"/>
    </row>
    <row r="15">
      <c r="A15" s="3" t="s">
        <v>21</v>
      </c>
    </row>
    <row r="16">
      <c r="A16" s="3" t="s">
        <v>22</v>
      </c>
      <c r="B16" s="3" t="s">
        <v>14</v>
      </c>
      <c r="C16" s="3" t="s">
        <v>23</v>
      </c>
    </row>
    <row r="17">
      <c r="A17" s="3" t="s">
        <v>24</v>
      </c>
      <c r="B17" s="9" t="str">
        <f>SUMIFS(INDIRECT('TEXTURIN-Bali-Purana'&amp;"!D:D"),INDIRECT('TEXTURIN-Bali-Purana'&amp;"!E:E"),"Pengeluaran",INDIRECT('TEXTURIN-Bali-Purana'&amp;"!H:H"),"Bahan")+SUMIFS(INDIRECT('HOLLA-Tapres'&amp;"!D:D"),INDIRECT('HOLLA-Tapres'&amp;"!E:E"),"Pengeluaran",INDIRECT('HOLLA-Tapres'&amp;"!H:H"),"Bahan")+SUMIFS(INDIRECT('TEXTURIN-Surabaya-Bu Linda'&amp;"!D:D"),INDIRECT('TEXTURIN-Surabaya-Bu Linda'&amp;"!E:E"),"Pengeluaran",INDIRECT('TEXTURIN-Surabaya-Bu Linda'&amp;"!H:H"),"Bahan")</f>
        <v>#ERROR!</v>
      </c>
      <c r="C17" s="9" t="str">
        <f>IF(B5&gt;0,B20/B5*100,0)</f>
        <v>#ERROR!</v>
      </c>
      <c r="D17" s="3" t="s">
        <v>10</v>
      </c>
    </row>
    <row r="18">
      <c r="A18" s="3" t="s">
        <v>25</v>
      </c>
      <c r="B18" s="9" t="str">
        <f>SUMIFS(INDIRECT('TEXTURIN-Bali-Purana'&amp;"!D:D"),INDIRECT('TEXTURIN-Bali-Purana'&amp;"!E:E"),"Pengeluaran",INDIRECT('TEXTURIN-Bali-Purana'&amp;"!H:H"),"Alat")+SUMIFS(INDIRECT('HOLLA-Tapres'&amp;"!D:D"),INDIRECT('HOLLA-Tapres'&amp;"!E:E"),"Pengeluaran",INDIRECT('HOLLA-Tapres'&amp;"!H:H"),"Alat")+SUMIFS(INDIRECT('TEXTURIN-Surabaya-Bu Linda'&amp;"!D:D"),INDIRECT('TEXTURIN-Surabaya-Bu Linda'&amp;"!E:E"),"Pengeluaran",INDIRECT('TEXTURIN-Surabaya-Bu Linda'&amp;"!H:H"),"Alat")</f>
        <v>#ERROR!</v>
      </c>
      <c r="C18" s="9" t="str">
        <f>IF(B5&gt;0,B21/B5*100,0)</f>
        <v>#ERROR!</v>
      </c>
      <c r="D18" s="3" t="s">
        <v>10</v>
      </c>
    </row>
    <row r="19">
      <c r="A19" s="3" t="s">
        <v>26</v>
      </c>
      <c r="B19" s="9" t="str">
        <f>SUMIFS(INDIRECT('TEXTURIN-Bali-Purana'&amp;"!D:D"),INDIRECT('TEXTURIN-Bali-Purana'&amp;"!E:E"),"Pengeluaran",INDIRECT('TEXTURIN-Bali-Purana'&amp;"!H:H"),"Operasional")+SUMIFS(INDIRECT('HOLLA-Tapres'&amp;"!D:D"),INDIRECT('HOLLA-Tapres'&amp;"!E:E"),"Pengeluaran",INDIRECT('HOLLA-Tapres'&amp;"!H:H"),"Operasional")+SUMIFS(INDIRECT('TEXTURIN-Surabaya-Bu Linda'&amp;"!D:D"),INDIRECT('TEXTURIN-Surabaya-Bu Linda'&amp;"!E:E"),"Pengeluaran",INDIRECT('TEXTURIN-Surabaya-Bu Linda'&amp;"!H:H"),"Operasional")</f>
        <v>#ERROR!</v>
      </c>
      <c r="C19" s="9" t="str">
        <f>IF(B5&gt;0,B22/B5*100,0)</f>
        <v>#ERROR!</v>
      </c>
      <c r="D19" s="3" t="s">
        <v>10</v>
      </c>
    </row>
    <row r="20">
      <c r="A20" s="3" t="s">
        <v>27</v>
      </c>
      <c r="B20" s="9" t="str">
        <f>SUMIFS(INDIRECT('TEXTURIN-Bali-Purana'&amp;"!D:D"),INDIRECT('TEXTURIN-Bali-Purana'&amp;"!E:E"),"Pengeluaran",INDIRECT('TEXTURIN-Bali-Purana'&amp;"!H:H"),"Gaji")+SUMIFS(INDIRECT('HOLLA-Tapres'&amp;"!D:D"),INDIRECT('HOLLA-Tapres'&amp;"!E:E"),"Pengeluaran",INDIRECT('HOLLA-Tapres'&amp;"!H:H"),"Gaji")+SUMIFS(INDIRECT('TEXTURIN-Surabaya-Bu Linda'&amp;"!D:D"),INDIRECT('TEXTURIN-Surabaya-Bu Linda'&amp;"!E:E"),"Pengeluaran",INDIRECT('TEXTURIN-Surabaya-Bu Linda'&amp;"!H:H"),"Gaji")</f>
        <v>#ERROR!</v>
      </c>
      <c r="C20" s="9" t="str">
        <f>IF(B5&gt;0,B23/B5*100,0)</f>
        <v>#ERROR!</v>
      </c>
      <c r="D20" s="3" t="s">
        <v>10</v>
      </c>
    </row>
  </sheetData>
  <mergeCells count="12">
    <mergeCell ref="H4:I4"/>
    <mergeCell ref="H5:I5"/>
    <mergeCell ref="H8:J8"/>
    <mergeCell ref="E5:F5"/>
    <mergeCell ref="A8:F8"/>
    <mergeCell ref="A1:L1"/>
    <mergeCell ref="A2:L2"/>
    <mergeCell ref="B4:C4"/>
    <mergeCell ref="E4:F4"/>
    <mergeCell ref="K4:L4"/>
    <mergeCell ref="B5:C5"/>
    <mergeCell ref="K5:L5"/>
  </mergeCells>
  <conditionalFormatting sqref="E3:E7 E9:E12 E14:E100">
    <cfRule type="cellIs" dxfId="0" priority="1" stopIfTrue="1" operator="lessThan">
      <formula>0.75</formula>
    </cfRule>
  </conditionalFormatting>
  <conditionalFormatting sqref="E3:E7 E9:E12 E14:E100">
    <cfRule type="expression" dxfId="1" priority="2" stopIfTrue="1">
      <formula>AND(E3&gt;=0.75, E3&lt;0.9)</formula>
    </cfRule>
  </conditionalFormatting>
  <conditionalFormatting sqref="E3:E7 E9:E12 E14:E100">
    <cfRule type="cellIs" dxfId="2" priority="3" stopIfTrue="1" operator="greaterThan">
      <formula>0.9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14.5"/>
    <col customWidth="1" min="3" max="3" width="37.63"/>
    <col customWidth="1" min="4" max="4" width="13.5"/>
    <col customWidth="1" min="5" max="5" width="12.25"/>
    <col customWidth="1" min="6" max="6" width="19.25"/>
    <col customWidth="1" min="7" max="7" width="13.5"/>
    <col customWidth="1" min="8" max="8" width="15.5"/>
  </cols>
  <sheetData>
    <row r="1">
      <c r="A1" s="24" t="s">
        <v>12</v>
      </c>
      <c r="B1" s="24" t="s">
        <v>28</v>
      </c>
      <c r="C1" s="25" t="s">
        <v>29</v>
      </c>
      <c r="D1" s="24" t="s">
        <v>30</v>
      </c>
      <c r="E1" s="24" t="s">
        <v>31</v>
      </c>
      <c r="F1" s="24" t="s">
        <v>32</v>
      </c>
      <c r="G1" s="24" t="s">
        <v>33</v>
      </c>
      <c r="H1" s="24" t="s">
        <v>22</v>
      </c>
    </row>
    <row r="2">
      <c r="A2" s="26">
        <v>1.0</v>
      </c>
      <c r="B2" s="27">
        <v>46151.0</v>
      </c>
      <c r="C2" s="28" t="s">
        <v>34</v>
      </c>
      <c r="D2" s="29">
        <v>1500000.0</v>
      </c>
      <c r="E2" s="30" t="s">
        <v>35</v>
      </c>
      <c r="F2" s="30" t="s">
        <v>36</v>
      </c>
      <c r="G2" s="30" t="s">
        <v>37</v>
      </c>
      <c r="H2" s="30" t="s">
        <v>24</v>
      </c>
    </row>
    <row r="3">
      <c r="A3" s="26">
        <v>2.0</v>
      </c>
      <c r="B3" s="27">
        <v>46151.0</v>
      </c>
      <c r="C3" s="28" t="s">
        <v>38</v>
      </c>
      <c r="D3" s="29">
        <v>350000.0</v>
      </c>
      <c r="E3" s="30" t="s">
        <v>35</v>
      </c>
      <c r="F3" s="30" t="s">
        <v>36</v>
      </c>
      <c r="G3" s="30" t="s">
        <v>37</v>
      </c>
      <c r="H3" s="30" t="s">
        <v>27</v>
      </c>
    </row>
    <row r="4">
      <c r="A4" s="26">
        <v>3.0</v>
      </c>
      <c r="B4" s="27">
        <v>46152.0</v>
      </c>
      <c r="C4" s="28" t="s">
        <v>39</v>
      </c>
      <c r="D4" s="29">
        <v>150000.0</v>
      </c>
      <c r="E4" s="30" t="s">
        <v>35</v>
      </c>
      <c r="F4" s="30" t="s">
        <v>36</v>
      </c>
      <c r="G4" s="30" t="s">
        <v>40</v>
      </c>
      <c r="H4" s="30" t="s">
        <v>25</v>
      </c>
    </row>
    <row r="5">
      <c r="A5" s="26">
        <v>4.0</v>
      </c>
      <c r="B5" s="27">
        <v>46152.0</v>
      </c>
      <c r="C5" s="28" t="s">
        <v>41</v>
      </c>
      <c r="D5" s="29">
        <v>25000.0</v>
      </c>
      <c r="E5" s="30" t="s">
        <v>35</v>
      </c>
      <c r="F5" s="30" t="s">
        <v>36</v>
      </c>
      <c r="G5" s="30" t="s">
        <v>42</v>
      </c>
      <c r="H5" s="30" t="s">
        <v>26</v>
      </c>
    </row>
    <row r="6">
      <c r="A6" s="26">
        <v>5.0</v>
      </c>
      <c r="B6" s="27">
        <v>46153.0</v>
      </c>
      <c r="C6" s="28" t="s">
        <v>43</v>
      </c>
      <c r="D6" s="29">
        <v>650000.0</v>
      </c>
      <c r="E6" s="30" t="s">
        <v>35</v>
      </c>
      <c r="F6" s="30" t="s">
        <v>36</v>
      </c>
      <c r="G6" s="30" t="s">
        <v>37</v>
      </c>
      <c r="H6" s="30" t="s">
        <v>24</v>
      </c>
    </row>
    <row r="7">
      <c r="A7" s="26">
        <v>6.0</v>
      </c>
      <c r="B7" s="27">
        <v>46153.0</v>
      </c>
      <c r="C7" s="28" t="s">
        <v>44</v>
      </c>
      <c r="D7" s="29">
        <v>70000.0</v>
      </c>
      <c r="E7" s="30" t="s">
        <v>35</v>
      </c>
      <c r="F7" s="30" t="s">
        <v>36</v>
      </c>
      <c r="G7" s="30" t="s">
        <v>37</v>
      </c>
      <c r="H7" s="30" t="s">
        <v>27</v>
      </c>
    </row>
    <row r="8">
      <c r="A8" s="26">
        <v>7.0</v>
      </c>
      <c r="B8" s="27">
        <v>46154.0</v>
      </c>
      <c r="C8" s="28" t="s">
        <v>45</v>
      </c>
      <c r="D8" s="29">
        <v>900000.0</v>
      </c>
      <c r="E8" s="30" t="s">
        <v>35</v>
      </c>
      <c r="F8" s="30" t="s">
        <v>36</v>
      </c>
      <c r="G8" s="30" t="s">
        <v>40</v>
      </c>
      <c r="H8" s="30" t="s">
        <v>25</v>
      </c>
    </row>
    <row r="9">
      <c r="A9" s="26">
        <v>8.0</v>
      </c>
      <c r="B9" s="27">
        <v>46154.0</v>
      </c>
      <c r="C9" s="28" t="s">
        <v>46</v>
      </c>
      <c r="D9" s="29">
        <v>50000.0</v>
      </c>
      <c r="E9" s="30" t="s">
        <v>35</v>
      </c>
      <c r="F9" s="30" t="s">
        <v>36</v>
      </c>
      <c r="G9" s="30" t="s">
        <v>42</v>
      </c>
      <c r="H9" s="30" t="s">
        <v>26</v>
      </c>
    </row>
    <row r="10">
      <c r="A10" s="26">
        <v>9.0</v>
      </c>
      <c r="B10" s="27">
        <v>46155.0</v>
      </c>
      <c r="C10" s="28" t="s">
        <v>47</v>
      </c>
      <c r="D10" s="29">
        <v>450000.0</v>
      </c>
      <c r="E10" s="30" t="s">
        <v>35</v>
      </c>
      <c r="F10" s="30" t="s">
        <v>36</v>
      </c>
      <c r="G10" s="30" t="s">
        <v>37</v>
      </c>
      <c r="H10" s="30" t="s">
        <v>24</v>
      </c>
    </row>
    <row r="11">
      <c r="A11" s="26">
        <v>10.0</v>
      </c>
      <c r="B11" s="27">
        <v>46155.0</v>
      </c>
      <c r="C11" s="28" t="s">
        <v>48</v>
      </c>
      <c r="D11" s="29">
        <v>260000.0</v>
      </c>
      <c r="E11" s="30" t="s">
        <v>35</v>
      </c>
      <c r="F11" s="30" t="s">
        <v>36</v>
      </c>
      <c r="G11" s="30" t="s">
        <v>37</v>
      </c>
      <c r="H11" s="30" t="s">
        <v>27</v>
      </c>
    </row>
    <row r="12">
      <c r="A12" s="26">
        <v>11.0</v>
      </c>
      <c r="B12" s="27">
        <v>46156.0</v>
      </c>
      <c r="C12" s="28" t="s">
        <v>49</v>
      </c>
      <c r="D12" s="29">
        <v>180000.0</v>
      </c>
      <c r="E12" s="30" t="s">
        <v>35</v>
      </c>
      <c r="F12" s="30" t="s">
        <v>36</v>
      </c>
      <c r="G12" s="30" t="s">
        <v>25</v>
      </c>
      <c r="H12" s="30" t="s">
        <v>25</v>
      </c>
    </row>
    <row r="13">
      <c r="A13" s="26">
        <v>12.0</v>
      </c>
      <c r="B13" s="27">
        <v>46156.0</v>
      </c>
      <c r="C13" s="28" t="s">
        <v>50</v>
      </c>
      <c r="D13" s="29">
        <v>200000.0</v>
      </c>
      <c r="E13" s="30" t="s">
        <v>35</v>
      </c>
      <c r="F13" s="30" t="s">
        <v>36</v>
      </c>
      <c r="G13" s="30" t="s">
        <v>42</v>
      </c>
      <c r="H13" s="30" t="s">
        <v>26</v>
      </c>
    </row>
    <row r="14">
      <c r="A14" s="26">
        <v>13.0</v>
      </c>
      <c r="B14" s="27">
        <v>46157.0</v>
      </c>
      <c r="C14" s="28" t="s">
        <v>51</v>
      </c>
      <c r="D14" s="29">
        <v>85000.0</v>
      </c>
      <c r="E14" s="30" t="s">
        <v>35</v>
      </c>
      <c r="F14" s="30" t="s">
        <v>36</v>
      </c>
      <c r="G14" s="30" t="s">
        <v>37</v>
      </c>
      <c r="H14" s="30" t="s">
        <v>24</v>
      </c>
    </row>
    <row r="15">
      <c r="A15" s="26">
        <v>14.0</v>
      </c>
      <c r="B15" s="27">
        <v>46157.0</v>
      </c>
      <c r="C15" s="28" t="s">
        <v>52</v>
      </c>
      <c r="D15" s="29">
        <v>1.8E7</v>
      </c>
      <c r="E15" s="30" t="s">
        <v>53</v>
      </c>
      <c r="F15" s="30" t="s">
        <v>36</v>
      </c>
      <c r="G15" s="30" t="s">
        <v>40</v>
      </c>
      <c r="H15" s="30" t="s">
        <v>26</v>
      </c>
    </row>
    <row r="16">
      <c r="A16" s="26">
        <v>15.0</v>
      </c>
      <c r="B16" s="27">
        <v>46158.0</v>
      </c>
      <c r="C16" s="28" t="s">
        <v>54</v>
      </c>
      <c r="D16" s="29">
        <v>2500000.0</v>
      </c>
      <c r="E16" s="30" t="s">
        <v>35</v>
      </c>
      <c r="F16" s="30" t="s">
        <v>36</v>
      </c>
      <c r="G16" s="30" t="s">
        <v>42</v>
      </c>
      <c r="H16" s="30" t="s">
        <v>25</v>
      </c>
    </row>
    <row r="17">
      <c r="A17" s="26">
        <v>16.0</v>
      </c>
      <c r="B17" s="27">
        <v>46158.0</v>
      </c>
      <c r="C17" s="28" t="s">
        <v>55</v>
      </c>
      <c r="D17" s="29">
        <v>3500000.0</v>
      </c>
      <c r="E17" s="30" t="s">
        <v>35</v>
      </c>
      <c r="F17" s="30" t="s">
        <v>36</v>
      </c>
      <c r="G17" s="30" t="s">
        <v>37</v>
      </c>
      <c r="H17" s="30" t="s">
        <v>27</v>
      </c>
    </row>
    <row r="18">
      <c r="A18" s="26">
        <v>17.0</v>
      </c>
      <c r="B18" s="27">
        <v>46159.0</v>
      </c>
      <c r="C18" s="28" t="s">
        <v>56</v>
      </c>
      <c r="D18" s="29">
        <v>800000.0</v>
      </c>
      <c r="E18" s="30" t="s">
        <v>35</v>
      </c>
      <c r="F18" s="30" t="s">
        <v>36</v>
      </c>
      <c r="G18" s="30" t="s">
        <v>40</v>
      </c>
      <c r="H18" s="30" t="s">
        <v>26</v>
      </c>
    </row>
    <row r="19">
      <c r="A19" s="26">
        <v>18.0</v>
      </c>
      <c r="B19" s="27">
        <v>46159.0</v>
      </c>
      <c r="C19" s="28" t="s">
        <v>57</v>
      </c>
      <c r="D19" s="29">
        <v>1200000.0</v>
      </c>
      <c r="E19" s="30" t="s">
        <v>35</v>
      </c>
      <c r="F19" s="30" t="s">
        <v>36</v>
      </c>
      <c r="G19" s="30" t="s">
        <v>37</v>
      </c>
      <c r="H19" s="30" t="s">
        <v>24</v>
      </c>
    </row>
    <row r="20">
      <c r="A20" s="26">
        <v>19.0</v>
      </c>
      <c r="B20" s="27">
        <v>46160.0</v>
      </c>
      <c r="C20" s="28" t="s">
        <v>58</v>
      </c>
      <c r="D20" s="29">
        <v>140000.0</v>
      </c>
      <c r="E20" s="30" t="s">
        <v>35</v>
      </c>
      <c r="F20" s="30" t="s">
        <v>36</v>
      </c>
      <c r="G20" s="30" t="s">
        <v>42</v>
      </c>
      <c r="H20" s="30" t="s">
        <v>25</v>
      </c>
    </row>
    <row r="21">
      <c r="A21" s="26">
        <v>20.0</v>
      </c>
      <c r="B21" s="27">
        <v>46160.0</v>
      </c>
      <c r="C21" s="28" t="s">
        <v>59</v>
      </c>
      <c r="D21" s="29">
        <v>320000.0</v>
      </c>
      <c r="E21" s="30" t="s">
        <v>35</v>
      </c>
      <c r="F21" s="30" t="s">
        <v>36</v>
      </c>
      <c r="G21" s="30" t="s">
        <v>37</v>
      </c>
      <c r="H21" s="30" t="s">
        <v>27</v>
      </c>
    </row>
    <row r="22">
      <c r="A22" s="26">
        <v>21.0</v>
      </c>
      <c r="B22" s="27">
        <v>46161.0</v>
      </c>
      <c r="C22" s="28" t="s">
        <v>60</v>
      </c>
      <c r="D22" s="29">
        <v>210000.0</v>
      </c>
      <c r="E22" s="30" t="s">
        <v>35</v>
      </c>
      <c r="F22" s="30" t="s">
        <v>36</v>
      </c>
      <c r="G22" s="30" t="s">
        <v>37</v>
      </c>
      <c r="H22" s="30" t="s">
        <v>24</v>
      </c>
    </row>
    <row r="23">
      <c r="A23" s="26">
        <v>22.0</v>
      </c>
      <c r="B23" s="27">
        <v>46161.0</v>
      </c>
      <c r="C23" s="28" t="s">
        <v>61</v>
      </c>
      <c r="D23" s="29">
        <v>150000.0</v>
      </c>
      <c r="E23" s="30" t="s">
        <v>35</v>
      </c>
      <c r="F23" s="30" t="s">
        <v>36</v>
      </c>
      <c r="G23" s="30" t="s">
        <v>40</v>
      </c>
      <c r="H23" s="30" t="s">
        <v>26</v>
      </c>
    </row>
    <row r="24">
      <c r="A24" s="26">
        <v>23.0</v>
      </c>
      <c r="B24" s="27">
        <v>46162.0</v>
      </c>
      <c r="C24" s="28" t="s">
        <v>62</v>
      </c>
      <c r="D24" s="29">
        <v>400000.0</v>
      </c>
      <c r="E24" s="30" t="s">
        <v>35</v>
      </c>
      <c r="F24" s="30" t="s">
        <v>36</v>
      </c>
      <c r="G24" s="30" t="s">
        <v>37</v>
      </c>
      <c r="H24" s="30" t="s">
        <v>25</v>
      </c>
    </row>
    <row r="25">
      <c r="A25" s="26">
        <v>24.0</v>
      </c>
      <c r="B25" s="27">
        <v>46162.0</v>
      </c>
      <c r="C25" s="28" t="s">
        <v>63</v>
      </c>
      <c r="D25" s="29">
        <v>100000.0</v>
      </c>
      <c r="E25" s="30" t="s">
        <v>35</v>
      </c>
      <c r="F25" s="30" t="s">
        <v>36</v>
      </c>
      <c r="G25" s="30" t="s">
        <v>42</v>
      </c>
      <c r="H25" s="30" t="s">
        <v>26</v>
      </c>
    </row>
    <row r="26">
      <c r="A26" s="26">
        <v>25.0</v>
      </c>
      <c r="B26" s="27">
        <v>46163.0</v>
      </c>
      <c r="C26" s="28" t="s">
        <v>64</v>
      </c>
      <c r="D26" s="29">
        <v>280000.0</v>
      </c>
      <c r="E26" s="30" t="s">
        <v>35</v>
      </c>
      <c r="F26" s="30" t="s">
        <v>36</v>
      </c>
      <c r="G26" s="30" t="s">
        <v>37</v>
      </c>
      <c r="H26" s="30" t="s">
        <v>24</v>
      </c>
    </row>
    <row r="27">
      <c r="A27" s="26">
        <v>26.0</v>
      </c>
      <c r="B27" s="27">
        <v>46163.0</v>
      </c>
      <c r="C27" s="28" t="s">
        <v>65</v>
      </c>
      <c r="D27" s="29">
        <v>8000000.0</v>
      </c>
      <c r="E27" s="30" t="s">
        <v>53</v>
      </c>
      <c r="F27" s="30" t="s">
        <v>36</v>
      </c>
      <c r="G27" s="30" t="s">
        <v>37</v>
      </c>
      <c r="H27" s="30" t="s">
        <v>27</v>
      </c>
    </row>
    <row r="28">
      <c r="A28" s="26">
        <v>27.0</v>
      </c>
      <c r="B28" s="27">
        <v>46164.0</v>
      </c>
      <c r="C28" s="28" t="s">
        <v>66</v>
      </c>
      <c r="D28" s="29">
        <v>1800000.0</v>
      </c>
      <c r="E28" s="30" t="s">
        <v>35</v>
      </c>
      <c r="F28" s="30" t="s">
        <v>36</v>
      </c>
      <c r="G28" s="30" t="s">
        <v>40</v>
      </c>
      <c r="H28" s="30" t="s">
        <v>25</v>
      </c>
    </row>
    <row r="29">
      <c r="A29" s="26">
        <v>28.0</v>
      </c>
      <c r="B29" s="27">
        <v>46164.0</v>
      </c>
      <c r="C29" s="28" t="s">
        <v>67</v>
      </c>
      <c r="D29" s="29">
        <v>250000.0</v>
      </c>
      <c r="E29" s="30" t="s">
        <v>35</v>
      </c>
      <c r="F29" s="30" t="s">
        <v>36</v>
      </c>
      <c r="G29" s="30" t="s">
        <v>37</v>
      </c>
      <c r="H29" s="30" t="s">
        <v>26</v>
      </c>
    </row>
    <row r="30">
      <c r="A30" s="26">
        <v>29.0</v>
      </c>
      <c r="B30" s="27">
        <v>46165.0</v>
      </c>
      <c r="C30" s="28" t="s">
        <v>68</v>
      </c>
      <c r="D30" s="29">
        <v>750000.0</v>
      </c>
      <c r="E30" s="30" t="s">
        <v>35</v>
      </c>
      <c r="F30" s="30" t="s">
        <v>36</v>
      </c>
      <c r="G30" s="30" t="s">
        <v>42</v>
      </c>
      <c r="H30" s="30" t="s">
        <v>24</v>
      </c>
    </row>
    <row r="31">
      <c r="A31" s="26">
        <v>30.0</v>
      </c>
      <c r="B31" s="27">
        <v>46165.0</v>
      </c>
      <c r="C31" s="28" t="s">
        <v>69</v>
      </c>
      <c r="D31" s="29">
        <v>400000.0</v>
      </c>
      <c r="E31" s="30" t="s">
        <v>35</v>
      </c>
      <c r="F31" s="30" t="s">
        <v>36</v>
      </c>
      <c r="G31" s="30" t="s">
        <v>37</v>
      </c>
      <c r="H31" s="30" t="s">
        <v>27</v>
      </c>
    </row>
    <row r="32">
      <c r="A32" s="26"/>
      <c r="B32" s="31"/>
      <c r="C32" s="28"/>
      <c r="D32" s="30"/>
      <c r="E32" s="30"/>
      <c r="F32" s="30"/>
      <c r="G32" s="30"/>
      <c r="H32" s="32"/>
    </row>
    <row r="33">
      <c r="A33" s="26"/>
      <c r="B33" s="31"/>
      <c r="C33" s="28"/>
      <c r="D33" s="30"/>
      <c r="E33" s="30"/>
      <c r="F33" s="30"/>
      <c r="G33" s="30"/>
      <c r="H33" s="30"/>
    </row>
    <row r="34">
      <c r="A34" s="26"/>
      <c r="B34" s="31"/>
      <c r="C34" s="28"/>
      <c r="D34" s="30"/>
      <c r="E34" s="30"/>
      <c r="F34" s="30"/>
      <c r="G34" s="30"/>
      <c r="H34" s="30"/>
    </row>
    <row r="35">
      <c r="A35" s="33"/>
      <c r="B35" s="31"/>
      <c r="C35" s="28"/>
      <c r="D35" s="30"/>
      <c r="E35" s="30"/>
      <c r="F35" s="30"/>
      <c r="G35" s="30"/>
      <c r="H35" s="30"/>
    </row>
    <row r="36">
      <c r="A36" s="33"/>
      <c r="B36" s="31"/>
      <c r="C36" s="28"/>
      <c r="D36" s="30"/>
      <c r="E36" s="30"/>
      <c r="F36" s="30"/>
      <c r="G36" s="30"/>
      <c r="H36" s="30"/>
    </row>
    <row r="37">
      <c r="A37" s="33"/>
      <c r="B37" s="31"/>
      <c r="C37" s="28"/>
      <c r="D37" s="30"/>
      <c r="E37" s="30"/>
      <c r="F37" s="30"/>
      <c r="G37" s="30"/>
      <c r="H37" s="30"/>
    </row>
    <row r="38">
      <c r="A38" s="33"/>
      <c r="B38" s="31"/>
      <c r="C38" s="28"/>
      <c r="D38" s="30"/>
      <c r="E38" s="30"/>
      <c r="F38" s="30"/>
      <c r="G38" s="30"/>
      <c r="H38" s="30"/>
    </row>
    <row r="39">
      <c r="A39" s="33"/>
      <c r="B39" s="31"/>
      <c r="C39" s="28"/>
      <c r="D39" s="30"/>
      <c r="E39" s="30"/>
      <c r="F39" s="30"/>
      <c r="G39" s="30"/>
      <c r="H39" s="30"/>
    </row>
    <row r="40">
      <c r="A40" s="33"/>
      <c r="B40" s="31"/>
      <c r="C40" s="28"/>
      <c r="D40" s="30"/>
      <c r="E40" s="30"/>
      <c r="F40" s="30"/>
      <c r="G40" s="30"/>
      <c r="H40" s="30"/>
    </row>
    <row r="41">
      <c r="A41" s="33"/>
      <c r="B41" s="31"/>
      <c r="C41" s="28"/>
      <c r="D41" s="30"/>
      <c r="E41" s="30"/>
      <c r="F41" s="30"/>
      <c r="G41" s="30"/>
      <c r="H41" s="30"/>
    </row>
    <row r="42">
      <c r="A42" s="33"/>
      <c r="B42" s="31"/>
      <c r="C42" s="28"/>
      <c r="D42" s="30"/>
      <c r="E42" s="30"/>
      <c r="F42" s="30"/>
      <c r="G42" s="30"/>
      <c r="H42" s="30"/>
    </row>
    <row r="43">
      <c r="A43" s="33"/>
      <c r="B43" s="31"/>
      <c r="C43" s="28"/>
      <c r="D43" s="30"/>
      <c r="E43" s="30"/>
      <c r="F43" s="30"/>
      <c r="G43" s="30"/>
      <c r="H43" s="30"/>
    </row>
    <row r="44">
      <c r="A44" s="33"/>
      <c r="B44" s="31"/>
      <c r="C44" s="28"/>
      <c r="D44" s="30"/>
      <c r="E44" s="30"/>
      <c r="F44" s="30"/>
      <c r="G44" s="30"/>
      <c r="H44" s="30"/>
    </row>
    <row r="45">
      <c r="A45" s="33"/>
      <c r="B45" s="31"/>
      <c r="C45" s="28"/>
      <c r="D45" s="30"/>
      <c r="E45" s="30"/>
      <c r="F45" s="30"/>
      <c r="G45" s="30"/>
      <c r="H45" s="32"/>
    </row>
    <row r="46">
      <c r="A46" s="33"/>
      <c r="B46" s="31"/>
      <c r="C46" s="28"/>
      <c r="D46" s="30"/>
      <c r="E46" s="30"/>
      <c r="F46" s="30"/>
      <c r="G46" s="30"/>
      <c r="H46" s="32"/>
    </row>
    <row r="47">
      <c r="A47" s="33"/>
      <c r="B47" s="31"/>
      <c r="C47" s="28"/>
      <c r="D47" s="30"/>
      <c r="E47" s="30"/>
      <c r="F47" s="30"/>
      <c r="G47" s="30"/>
      <c r="H47" s="30"/>
    </row>
    <row r="48">
      <c r="A48" s="33"/>
      <c r="B48" s="31"/>
      <c r="C48" s="28"/>
      <c r="D48" s="30"/>
      <c r="E48" s="30"/>
      <c r="F48" s="30"/>
      <c r="G48" s="30"/>
      <c r="H48" s="30"/>
    </row>
    <row r="49">
      <c r="A49" s="33"/>
      <c r="B49" s="31"/>
      <c r="C49" s="28"/>
      <c r="D49" s="30"/>
      <c r="E49" s="30"/>
      <c r="F49" s="30"/>
      <c r="G49" s="30"/>
      <c r="H49" s="32"/>
    </row>
    <row r="50">
      <c r="A50" s="33"/>
      <c r="B50" s="31"/>
      <c r="C50" s="28"/>
      <c r="D50" s="30"/>
      <c r="E50" s="30"/>
      <c r="F50" s="30"/>
      <c r="G50" s="30"/>
      <c r="H50" s="30"/>
    </row>
    <row r="51">
      <c r="A51" s="33"/>
      <c r="B51" s="31"/>
      <c r="C51" s="28"/>
      <c r="D51" s="30"/>
      <c r="E51" s="30"/>
      <c r="F51" s="30"/>
      <c r="G51" s="30"/>
      <c r="H51" s="30"/>
    </row>
    <row r="52">
      <c r="A52" s="33"/>
      <c r="B52" s="31"/>
      <c r="C52" s="28"/>
      <c r="D52" s="30"/>
      <c r="E52" s="30"/>
      <c r="F52" s="30"/>
      <c r="G52" s="30"/>
      <c r="H52" s="30"/>
    </row>
    <row r="53">
      <c r="A53" s="33"/>
      <c r="B53" s="31"/>
      <c r="C53" s="28"/>
      <c r="D53" s="30"/>
      <c r="E53" s="30"/>
      <c r="F53" s="30"/>
      <c r="G53" s="30"/>
      <c r="H53" s="30"/>
    </row>
    <row r="54">
      <c r="A54" s="33"/>
      <c r="B54" s="31"/>
      <c r="C54" s="28"/>
      <c r="D54" s="30"/>
      <c r="E54" s="30"/>
      <c r="F54" s="30"/>
      <c r="G54" s="30"/>
      <c r="H54" s="30"/>
    </row>
    <row r="55">
      <c r="A55" s="33"/>
      <c r="B55" s="31"/>
      <c r="C55" s="28"/>
      <c r="D55" s="30"/>
      <c r="E55" s="30"/>
      <c r="F55" s="30"/>
      <c r="G55" s="30"/>
      <c r="H55" s="30"/>
    </row>
    <row r="56">
      <c r="A56" s="33"/>
      <c r="B56" s="31"/>
      <c r="C56" s="28"/>
      <c r="D56" s="30"/>
      <c r="E56" s="30"/>
      <c r="F56" s="30"/>
      <c r="G56" s="30"/>
      <c r="H56" s="30"/>
    </row>
    <row r="57">
      <c r="A57" s="33"/>
      <c r="B57" s="31"/>
      <c r="C57" s="28"/>
      <c r="D57" s="30"/>
      <c r="E57" s="30"/>
      <c r="F57" s="30"/>
      <c r="G57" s="30"/>
      <c r="H57" s="30"/>
    </row>
    <row r="58">
      <c r="A58" s="33"/>
      <c r="B58" s="31"/>
      <c r="C58" s="28"/>
      <c r="D58" s="30"/>
      <c r="E58" s="30"/>
      <c r="F58" s="30"/>
      <c r="G58" s="30"/>
      <c r="H58" s="32"/>
    </row>
    <row r="59">
      <c r="A59" s="33"/>
      <c r="B59" s="31"/>
      <c r="C59" s="28"/>
      <c r="D59" s="30"/>
      <c r="E59" s="30"/>
      <c r="F59" s="30"/>
      <c r="G59" s="30"/>
      <c r="H59" s="30"/>
    </row>
    <row r="60">
      <c r="A60" s="33"/>
      <c r="B60" s="31"/>
      <c r="C60" s="28"/>
      <c r="D60" s="30"/>
      <c r="E60" s="30"/>
      <c r="F60" s="30"/>
      <c r="G60" s="30"/>
      <c r="H60" s="30"/>
    </row>
    <row r="61">
      <c r="A61" s="33"/>
      <c r="B61" s="31"/>
      <c r="C61" s="28"/>
      <c r="D61" s="30"/>
      <c r="E61" s="30"/>
      <c r="F61" s="30"/>
      <c r="G61" s="30"/>
      <c r="H61" s="30"/>
    </row>
    <row r="62">
      <c r="A62" s="33"/>
      <c r="B62" s="31"/>
      <c r="C62" s="28"/>
      <c r="D62" s="30"/>
      <c r="E62" s="30"/>
      <c r="F62" s="30"/>
      <c r="G62" s="30"/>
      <c r="H62" s="32"/>
    </row>
    <row r="63">
      <c r="A63" s="33"/>
      <c r="B63" s="31"/>
      <c r="C63" s="28"/>
      <c r="D63" s="30"/>
      <c r="E63" s="30"/>
      <c r="F63" s="30"/>
      <c r="G63" s="30"/>
      <c r="H63" s="30"/>
    </row>
    <row r="64">
      <c r="A64" s="33"/>
      <c r="B64" s="31"/>
      <c r="C64" s="28"/>
      <c r="D64" s="30"/>
      <c r="E64" s="30"/>
      <c r="F64" s="30"/>
      <c r="G64" s="30"/>
      <c r="H64" s="30"/>
    </row>
    <row r="65">
      <c r="A65" s="33"/>
      <c r="B65" s="31"/>
      <c r="C65" s="28"/>
      <c r="D65" s="30"/>
      <c r="E65" s="30"/>
      <c r="F65" s="30"/>
      <c r="G65" s="30"/>
      <c r="H65" s="30"/>
    </row>
    <row r="66">
      <c r="A66" s="33"/>
      <c r="B66" s="31"/>
      <c r="C66" s="28"/>
      <c r="D66" s="30"/>
      <c r="E66" s="30"/>
      <c r="F66" s="30"/>
      <c r="G66" s="30"/>
      <c r="H66" s="30"/>
    </row>
    <row r="67">
      <c r="A67" s="33"/>
      <c r="B67" s="31"/>
      <c r="C67" s="28"/>
      <c r="D67" s="30"/>
      <c r="E67" s="30"/>
      <c r="F67" s="30"/>
      <c r="G67" s="30"/>
      <c r="H67" s="30"/>
    </row>
    <row r="68">
      <c r="A68" s="33"/>
      <c r="B68" s="31"/>
      <c r="C68" s="28"/>
      <c r="D68" s="30"/>
      <c r="E68" s="30"/>
      <c r="F68" s="30"/>
      <c r="G68" s="30"/>
      <c r="H68" s="30"/>
    </row>
    <row r="69">
      <c r="A69" s="33"/>
      <c r="B69" s="31"/>
      <c r="C69" s="28"/>
      <c r="D69" s="30"/>
      <c r="E69" s="30"/>
      <c r="F69" s="30"/>
      <c r="G69" s="30"/>
      <c r="H69" s="30"/>
    </row>
    <row r="70">
      <c r="A70" s="33"/>
      <c r="B70" s="31"/>
      <c r="C70" s="28"/>
      <c r="D70" s="30"/>
      <c r="E70" s="30"/>
      <c r="F70" s="30"/>
      <c r="G70" s="30"/>
      <c r="H70" s="30"/>
    </row>
    <row r="71">
      <c r="A71" s="33"/>
      <c r="B71" s="31"/>
      <c r="C71" s="28"/>
      <c r="D71" s="30"/>
      <c r="E71" s="30"/>
      <c r="F71" s="30"/>
      <c r="G71" s="30"/>
      <c r="H71" s="30"/>
    </row>
    <row r="72">
      <c r="A72" s="33"/>
      <c r="B72" s="31"/>
      <c r="C72" s="28"/>
      <c r="D72" s="30"/>
      <c r="E72" s="30"/>
      <c r="F72" s="30"/>
      <c r="G72" s="30"/>
      <c r="H72" s="30"/>
    </row>
    <row r="73">
      <c r="A73" s="33"/>
      <c r="B73" s="31"/>
      <c r="C73" s="28"/>
      <c r="D73" s="30"/>
      <c r="E73" s="30"/>
      <c r="F73" s="30"/>
      <c r="G73" s="30"/>
      <c r="H73" s="30"/>
    </row>
    <row r="74">
      <c r="A74" s="33"/>
      <c r="B74" s="31"/>
      <c r="C74" s="28"/>
      <c r="D74" s="30"/>
      <c r="E74" s="30"/>
      <c r="F74" s="30"/>
      <c r="G74" s="30"/>
      <c r="H74" s="30"/>
    </row>
    <row r="75">
      <c r="A75" s="33"/>
      <c r="B75" s="31"/>
      <c r="C75" s="28"/>
      <c r="D75" s="30"/>
      <c r="E75" s="30"/>
      <c r="F75" s="30"/>
      <c r="G75" s="30"/>
      <c r="H75" s="30"/>
    </row>
    <row r="76">
      <c r="A76" s="33"/>
      <c r="B76" s="31"/>
      <c r="C76" s="28"/>
      <c r="D76" s="30"/>
      <c r="E76" s="30"/>
      <c r="F76" s="30"/>
      <c r="G76" s="30"/>
      <c r="H76" s="30"/>
    </row>
    <row r="77">
      <c r="A77" s="33"/>
      <c r="B77" s="31"/>
      <c r="C77" s="28"/>
      <c r="D77" s="30"/>
      <c r="E77" s="30"/>
      <c r="F77" s="30"/>
      <c r="G77" s="30"/>
      <c r="H77" s="30"/>
    </row>
    <row r="78">
      <c r="A78" s="33"/>
      <c r="B78" s="31"/>
      <c r="C78" s="28"/>
      <c r="D78" s="30"/>
      <c r="E78" s="30"/>
      <c r="F78" s="30"/>
      <c r="G78" s="30"/>
      <c r="H78" s="30"/>
    </row>
    <row r="79">
      <c r="A79" s="33"/>
      <c r="B79" s="31"/>
      <c r="C79" s="28"/>
      <c r="D79" s="30"/>
      <c r="E79" s="30"/>
      <c r="F79" s="30"/>
      <c r="G79" s="30"/>
      <c r="H79" s="30"/>
    </row>
    <row r="80">
      <c r="A80" s="33"/>
      <c r="B80" s="31"/>
      <c r="C80" s="28"/>
      <c r="D80" s="30"/>
      <c r="E80" s="30"/>
      <c r="F80" s="30"/>
      <c r="G80" s="30"/>
      <c r="H80" s="30"/>
    </row>
    <row r="81">
      <c r="A81" s="33"/>
      <c r="B81" s="31"/>
      <c r="C81" s="28"/>
      <c r="D81" s="30"/>
      <c r="E81" s="30"/>
      <c r="F81" s="30"/>
      <c r="G81" s="30"/>
      <c r="H81" s="30"/>
    </row>
    <row r="82">
      <c r="A82" s="33"/>
      <c r="B82" s="31"/>
      <c r="C82" s="28"/>
      <c r="D82" s="30"/>
      <c r="E82" s="30"/>
      <c r="F82" s="30"/>
      <c r="G82" s="30"/>
      <c r="H82" s="30"/>
    </row>
    <row r="83">
      <c r="A83" s="33"/>
      <c r="B83" s="31"/>
      <c r="C83" s="28"/>
      <c r="D83" s="30"/>
      <c r="E83" s="30"/>
      <c r="F83" s="30"/>
      <c r="G83" s="30"/>
      <c r="H83" s="30"/>
    </row>
    <row r="84">
      <c r="A84" s="33"/>
      <c r="B84" s="31"/>
      <c r="C84" s="28"/>
      <c r="D84" s="30"/>
      <c r="E84" s="30"/>
      <c r="F84" s="30"/>
      <c r="G84" s="30"/>
      <c r="H84" s="30"/>
    </row>
    <row r="85">
      <c r="A85" s="33"/>
      <c r="B85" s="31"/>
      <c r="C85" s="28"/>
      <c r="D85" s="30"/>
      <c r="E85" s="30"/>
      <c r="F85" s="30"/>
      <c r="G85" s="30"/>
      <c r="H85" s="30"/>
    </row>
    <row r="86">
      <c r="A86" s="33"/>
      <c r="B86" s="31"/>
      <c r="C86" s="28"/>
      <c r="D86" s="30"/>
      <c r="E86" s="30"/>
      <c r="F86" s="30"/>
      <c r="G86" s="30"/>
      <c r="H86" s="30"/>
    </row>
    <row r="87">
      <c r="A87" s="33"/>
      <c r="B87" s="31"/>
      <c r="C87" s="28"/>
      <c r="D87" s="30"/>
      <c r="E87" s="30"/>
      <c r="F87" s="30"/>
      <c r="G87" s="30"/>
      <c r="H87" s="30"/>
    </row>
    <row r="88">
      <c r="A88" s="33"/>
      <c r="B88" s="31"/>
      <c r="C88" s="28"/>
      <c r="D88" s="30"/>
      <c r="E88" s="30"/>
      <c r="F88" s="30"/>
      <c r="G88" s="30"/>
      <c r="H88" s="30"/>
    </row>
    <row r="89">
      <c r="A89" s="33"/>
      <c r="B89" s="31"/>
      <c r="C89" s="28"/>
      <c r="D89" s="30"/>
      <c r="E89" s="30"/>
      <c r="F89" s="30"/>
      <c r="G89" s="30"/>
      <c r="H89" s="30"/>
    </row>
    <row r="90">
      <c r="A90" s="33"/>
      <c r="B90" s="31"/>
      <c r="C90" s="28"/>
      <c r="D90" s="30"/>
      <c r="E90" s="30"/>
      <c r="F90" s="30"/>
      <c r="G90" s="30"/>
      <c r="H90" s="30"/>
    </row>
    <row r="91">
      <c r="A91" s="33"/>
      <c r="B91" s="31"/>
      <c r="C91" s="28"/>
      <c r="D91" s="30"/>
      <c r="E91" s="30"/>
      <c r="F91" s="30"/>
      <c r="G91" s="30"/>
      <c r="H91" s="30"/>
    </row>
    <row r="92">
      <c r="A92" s="33"/>
      <c r="B92" s="31"/>
      <c r="C92" s="28"/>
      <c r="D92" s="30"/>
      <c r="E92" s="30"/>
      <c r="F92" s="30"/>
      <c r="G92" s="30"/>
      <c r="H92" s="30"/>
    </row>
    <row r="93">
      <c r="A93" s="33"/>
      <c r="B93" s="31"/>
      <c r="C93" s="28"/>
      <c r="D93" s="30"/>
      <c r="E93" s="30"/>
      <c r="F93" s="30"/>
      <c r="G93" s="30"/>
      <c r="H93" s="30"/>
    </row>
    <row r="94">
      <c r="A94" s="33"/>
      <c r="B94" s="31"/>
      <c r="C94" s="28"/>
      <c r="D94" s="30"/>
      <c r="E94" s="30"/>
      <c r="F94" s="30"/>
      <c r="G94" s="30"/>
      <c r="H94" s="30"/>
    </row>
    <row r="95">
      <c r="A95" s="33"/>
      <c r="B95" s="31"/>
      <c r="C95" s="28"/>
      <c r="D95" s="30"/>
      <c r="E95" s="30"/>
      <c r="F95" s="30"/>
      <c r="G95" s="30"/>
      <c r="H95" s="30"/>
    </row>
    <row r="96">
      <c r="A96" s="33"/>
      <c r="B96" s="31"/>
      <c r="C96" s="28"/>
      <c r="D96" s="30"/>
      <c r="E96" s="30"/>
      <c r="F96" s="30"/>
      <c r="G96" s="30"/>
      <c r="H96" s="30"/>
    </row>
    <row r="97">
      <c r="A97" s="33"/>
      <c r="B97" s="31"/>
      <c r="C97" s="28"/>
      <c r="D97" s="30"/>
      <c r="E97" s="30"/>
      <c r="F97" s="30"/>
      <c r="G97" s="30"/>
      <c r="H97" s="30"/>
    </row>
    <row r="98">
      <c r="A98" s="33"/>
      <c r="B98" s="31"/>
      <c r="C98" s="28"/>
      <c r="D98" s="30"/>
      <c r="E98" s="30"/>
      <c r="F98" s="30"/>
      <c r="G98" s="30"/>
      <c r="H98" s="30"/>
    </row>
    <row r="99">
      <c r="A99" s="33"/>
      <c r="B99" s="31"/>
      <c r="C99" s="28"/>
      <c r="D99" s="30"/>
      <c r="E99" s="30"/>
      <c r="F99" s="30"/>
      <c r="G99" s="30"/>
      <c r="H99" s="30"/>
    </row>
    <row r="100">
      <c r="A100" s="33"/>
      <c r="B100" s="31"/>
      <c r="C100" s="28"/>
      <c r="D100" s="30"/>
      <c r="E100" s="30"/>
      <c r="F100" s="30"/>
      <c r="G100" s="30"/>
      <c r="H100" s="30"/>
    </row>
    <row r="101">
      <c r="A101" s="33"/>
      <c r="B101" s="31"/>
      <c r="C101" s="28"/>
      <c r="D101" s="30"/>
      <c r="E101" s="30"/>
      <c r="F101" s="30"/>
      <c r="G101" s="30"/>
      <c r="H101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14.5"/>
    <col customWidth="1" min="3" max="3" width="37.63"/>
    <col customWidth="1" min="4" max="4" width="13.5"/>
    <col customWidth="1" min="5" max="5" width="12.25"/>
    <col customWidth="1" min="6" max="6" width="19.25"/>
    <col customWidth="1" min="7" max="7" width="13.5"/>
    <col customWidth="1" min="8" max="8" width="15.5"/>
    <col customWidth="1" min="9" max="9" width="27.5"/>
  </cols>
  <sheetData>
    <row r="1">
      <c r="A1" s="24" t="s">
        <v>12</v>
      </c>
      <c r="B1" s="24" t="s">
        <v>28</v>
      </c>
      <c r="C1" s="25" t="s">
        <v>29</v>
      </c>
      <c r="D1" s="24" t="s">
        <v>30</v>
      </c>
      <c r="E1" s="24" t="s">
        <v>31</v>
      </c>
      <c r="F1" s="24" t="s">
        <v>32</v>
      </c>
      <c r="G1" s="24" t="s">
        <v>33</v>
      </c>
      <c r="H1" s="24" t="s">
        <v>22</v>
      </c>
    </row>
    <row r="2">
      <c r="A2" s="33">
        <v>1.0</v>
      </c>
      <c r="B2" s="27">
        <v>46100.0</v>
      </c>
      <c r="C2" s="28" t="s">
        <v>70</v>
      </c>
      <c r="D2" s="29">
        <v>750000.0</v>
      </c>
      <c r="E2" s="30" t="s">
        <v>35</v>
      </c>
      <c r="F2" s="30" t="s">
        <v>36</v>
      </c>
      <c r="G2" s="30" t="s">
        <v>42</v>
      </c>
      <c r="H2" s="30" t="s">
        <v>24</v>
      </c>
    </row>
    <row r="3">
      <c r="A3" s="33">
        <v>2.0</v>
      </c>
      <c r="B3" s="27">
        <v>46100.0</v>
      </c>
      <c r="C3" s="28" t="s">
        <v>71</v>
      </c>
      <c r="D3" s="29">
        <v>250000.0</v>
      </c>
      <c r="E3" s="30" t="s">
        <v>35</v>
      </c>
      <c r="F3" s="30" t="s">
        <v>36</v>
      </c>
      <c r="G3" s="30" t="s">
        <v>37</v>
      </c>
      <c r="H3" s="30" t="s">
        <v>27</v>
      </c>
    </row>
    <row r="4">
      <c r="A4" s="33">
        <v>3.0</v>
      </c>
      <c r="B4" s="27">
        <v>46101.0</v>
      </c>
      <c r="C4" s="28" t="s">
        <v>72</v>
      </c>
      <c r="D4" s="29">
        <v>400000.0</v>
      </c>
      <c r="E4" s="30" t="s">
        <v>35</v>
      </c>
      <c r="F4" s="30" t="s">
        <v>36</v>
      </c>
      <c r="G4" s="30" t="s">
        <v>37</v>
      </c>
      <c r="H4" s="30" t="s">
        <v>24</v>
      </c>
    </row>
    <row r="5">
      <c r="A5" s="33">
        <v>4.0</v>
      </c>
      <c r="B5" s="27">
        <v>46101.0</v>
      </c>
      <c r="C5" s="28" t="s">
        <v>73</v>
      </c>
      <c r="D5" s="29">
        <v>150000.0</v>
      </c>
      <c r="E5" s="30" t="s">
        <v>35</v>
      </c>
      <c r="F5" s="30" t="s">
        <v>36</v>
      </c>
      <c r="G5" s="30" t="s">
        <v>42</v>
      </c>
      <c r="H5" s="30" t="s">
        <v>26</v>
      </c>
    </row>
    <row r="6">
      <c r="A6" s="33">
        <v>5.0</v>
      </c>
      <c r="B6" s="27">
        <v>46102.0</v>
      </c>
      <c r="C6" s="28" t="s">
        <v>74</v>
      </c>
      <c r="D6" s="29">
        <v>850000.0</v>
      </c>
      <c r="E6" s="30" t="s">
        <v>35</v>
      </c>
      <c r="F6" s="30" t="s">
        <v>36</v>
      </c>
      <c r="G6" s="30" t="s">
        <v>40</v>
      </c>
      <c r="H6" s="30" t="s">
        <v>25</v>
      </c>
    </row>
    <row r="7">
      <c r="A7" s="33">
        <v>6.0</v>
      </c>
      <c r="B7" s="27">
        <v>46102.0</v>
      </c>
      <c r="C7" s="28" t="s">
        <v>75</v>
      </c>
      <c r="D7" s="29">
        <v>1200000.0</v>
      </c>
      <c r="E7" s="30" t="s">
        <v>53</v>
      </c>
      <c r="F7" s="30" t="s">
        <v>36</v>
      </c>
      <c r="G7" s="30" t="s">
        <v>37</v>
      </c>
      <c r="H7" s="30" t="s">
        <v>27</v>
      </c>
    </row>
    <row r="8">
      <c r="A8" s="33">
        <v>7.0</v>
      </c>
      <c r="B8" s="27">
        <v>46103.0</v>
      </c>
      <c r="C8" s="28" t="s">
        <v>76</v>
      </c>
      <c r="D8" s="29">
        <v>50000.0</v>
      </c>
      <c r="E8" s="30" t="s">
        <v>35</v>
      </c>
      <c r="F8" s="30" t="s">
        <v>36</v>
      </c>
      <c r="G8" s="30" t="s">
        <v>40</v>
      </c>
      <c r="H8" s="30" t="s">
        <v>26</v>
      </c>
    </row>
    <row r="9">
      <c r="A9" s="33">
        <v>8.0</v>
      </c>
      <c r="B9" s="27">
        <v>46103.0</v>
      </c>
      <c r="C9" s="28" t="s">
        <v>77</v>
      </c>
      <c r="D9" s="29">
        <v>320000.0</v>
      </c>
      <c r="E9" s="30" t="s">
        <v>35</v>
      </c>
      <c r="F9" s="30" t="s">
        <v>36</v>
      </c>
      <c r="G9" s="30" t="s">
        <v>37</v>
      </c>
      <c r="H9" s="30" t="s">
        <v>24</v>
      </c>
    </row>
    <row r="10">
      <c r="A10" s="33">
        <v>9.0</v>
      </c>
      <c r="B10" s="27">
        <v>46104.0</v>
      </c>
      <c r="C10" s="28" t="s">
        <v>78</v>
      </c>
      <c r="D10" s="29">
        <v>300000.0</v>
      </c>
      <c r="E10" s="30" t="s">
        <v>35</v>
      </c>
      <c r="F10" s="30" t="s">
        <v>36</v>
      </c>
      <c r="G10" s="30" t="s">
        <v>37</v>
      </c>
      <c r="H10" s="30" t="s">
        <v>25</v>
      </c>
    </row>
    <row r="11">
      <c r="A11" s="33">
        <v>10.0</v>
      </c>
      <c r="B11" s="27">
        <v>46104.0</v>
      </c>
      <c r="C11" s="28" t="s">
        <v>79</v>
      </c>
      <c r="D11" s="29">
        <v>180000.0</v>
      </c>
      <c r="E11" s="30" t="s">
        <v>35</v>
      </c>
      <c r="F11" s="30" t="s">
        <v>36</v>
      </c>
      <c r="G11" s="30" t="s">
        <v>42</v>
      </c>
      <c r="H11" s="30" t="s">
        <v>26</v>
      </c>
    </row>
    <row r="12">
      <c r="A12" s="33">
        <v>11.0</v>
      </c>
      <c r="B12" s="27">
        <v>46105.0</v>
      </c>
      <c r="C12" s="28" t="s">
        <v>80</v>
      </c>
      <c r="D12" s="29">
        <v>90000.0</v>
      </c>
      <c r="E12" s="30" t="s">
        <v>35</v>
      </c>
      <c r="F12" s="30" t="s">
        <v>36</v>
      </c>
      <c r="G12" s="30" t="s">
        <v>37</v>
      </c>
      <c r="H12" s="30" t="s">
        <v>24</v>
      </c>
    </row>
    <row r="13">
      <c r="A13" s="33">
        <v>12.0</v>
      </c>
      <c r="B13" s="27">
        <v>46105.0</v>
      </c>
      <c r="C13" s="28" t="s">
        <v>81</v>
      </c>
      <c r="D13" s="29">
        <v>100000.0</v>
      </c>
      <c r="E13" s="30" t="s">
        <v>35</v>
      </c>
      <c r="F13" s="30" t="s">
        <v>36</v>
      </c>
      <c r="G13" s="30" t="s">
        <v>40</v>
      </c>
      <c r="H13" s="30" t="s">
        <v>26</v>
      </c>
    </row>
    <row r="14">
      <c r="A14" s="33">
        <v>13.0</v>
      </c>
      <c r="B14" s="27">
        <v>46106.0</v>
      </c>
      <c r="C14" s="28" t="s">
        <v>82</v>
      </c>
      <c r="D14" s="29">
        <v>450000.0</v>
      </c>
      <c r="E14" s="30" t="s">
        <v>35</v>
      </c>
      <c r="F14" s="30" t="s">
        <v>36</v>
      </c>
      <c r="G14" s="30" t="s">
        <v>37</v>
      </c>
      <c r="H14" s="30" t="s">
        <v>25</v>
      </c>
    </row>
    <row r="15">
      <c r="A15" s="33">
        <v>14.0</v>
      </c>
      <c r="B15" s="27">
        <v>46106.0</v>
      </c>
      <c r="C15" s="28" t="s">
        <v>83</v>
      </c>
      <c r="D15" s="29">
        <v>220000.0</v>
      </c>
      <c r="E15" s="30" t="s">
        <v>35</v>
      </c>
      <c r="F15" s="30" t="s">
        <v>36</v>
      </c>
      <c r="G15" s="30" t="s">
        <v>37</v>
      </c>
      <c r="H15" s="30" t="s">
        <v>27</v>
      </c>
    </row>
    <row r="16">
      <c r="A16" s="33">
        <v>15.0</v>
      </c>
      <c r="B16" s="27">
        <v>46107.0</v>
      </c>
      <c r="C16" s="28" t="s">
        <v>84</v>
      </c>
      <c r="D16" s="29">
        <v>600000.0</v>
      </c>
      <c r="E16" s="30" t="s">
        <v>35</v>
      </c>
      <c r="F16" s="30" t="s">
        <v>36</v>
      </c>
      <c r="G16" s="30" t="s">
        <v>42</v>
      </c>
      <c r="H16" s="30" t="s">
        <v>24</v>
      </c>
    </row>
    <row r="17">
      <c r="A17" s="33">
        <v>16.0</v>
      </c>
      <c r="B17" s="27">
        <v>46107.0</v>
      </c>
      <c r="C17" s="28" t="s">
        <v>85</v>
      </c>
      <c r="D17" s="29">
        <v>1500000.0</v>
      </c>
      <c r="E17" s="30" t="s">
        <v>35</v>
      </c>
      <c r="F17" s="30" t="s">
        <v>36</v>
      </c>
      <c r="G17" s="30" t="s">
        <v>37</v>
      </c>
      <c r="H17" s="30" t="s">
        <v>26</v>
      </c>
    </row>
    <row r="18">
      <c r="A18" s="33">
        <v>17.0</v>
      </c>
      <c r="B18" s="27">
        <v>46108.0</v>
      </c>
      <c r="C18" s="28" t="s">
        <v>86</v>
      </c>
      <c r="D18" s="29">
        <v>120000.0</v>
      </c>
      <c r="E18" s="30" t="s">
        <v>35</v>
      </c>
      <c r="F18" s="30" t="s">
        <v>36</v>
      </c>
      <c r="G18" s="30" t="s">
        <v>25</v>
      </c>
      <c r="H18" s="32" t="s">
        <v>24</v>
      </c>
    </row>
    <row r="19">
      <c r="A19" s="33">
        <v>18.0</v>
      </c>
      <c r="B19" s="27">
        <v>46108.0</v>
      </c>
      <c r="C19" s="28" t="s">
        <v>87</v>
      </c>
      <c r="D19" s="29">
        <v>3000000.0</v>
      </c>
      <c r="E19" s="30" t="s">
        <v>53</v>
      </c>
      <c r="F19" s="30" t="s">
        <v>36</v>
      </c>
      <c r="G19" s="30" t="s">
        <v>27</v>
      </c>
      <c r="H19" s="32" t="s">
        <v>27</v>
      </c>
    </row>
    <row r="20">
      <c r="A20" s="33">
        <v>19.0</v>
      </c>
      <c r="B20" s="27">
        <v>46109.0</v>
      </c>
      <c r="C20" s="28" t="s">
        <v>88</v>
      </c>
      <c r="D20" s="29">
        <v>200000.0</v>
      </c>
      <c r="E20" s="30" t="s">
        <v>35</v>
      </c>
      <c r="F20" s="30" t="s">
        <v>36</v>
      </c>
      <c r="G20" s="30" t="s">
        <v>42</v>
      </c>
      <c r="H20" s="30" t="s">
        <v>26</v>
      </c>
    </row>
    <row r="21">
      <c r="A21" s="33">
        <v>20.0</v>
      </c>
      <c r="B21" s="27">
        <v>46109.0</v>
      </c>
      <c r="C21" s="28" t="s">
        <v>89</v>
      </c>
      <c r="D21" s="29">
        <v>1100000.0</v>
      </c>
      <c r="E21" s="30" t="s">
        <v>35</v>
      </c>
      <c r="F21" s="30" t="s">
        <v>36</v>
      </c>
      <c r="G21" s="30" t="s">
        <v>37</v>
      </c>
      <c r="H21" s="30" t="s">
        <v>24</v>
      </c>
    </row>
    <row r="22">
      <c r="A22" s="33">
        <v>21.0</v>
      </c>
      <c r="B22" s="27">
        <v>46110.0</v>
      </c>
      <c r="C22" s="28" t="s">
        <v>90</v>
      </c>
      <c r="D22" s="29">
        <v>75000.0</v>
      </c>
      <c r="E22" s="30" t="s">
        <v>35</v>
      </c>
      <c r="F22" s="30" t="s">
        <v>36</v>
      </c>
      <c r="G22" s="30" t="s">
        <v>37</v>
      </c>
      <c r="H22" s="30" t="s">
        <v>25</v>
      </c>
    </row>
    <row r="23">
      <c r="A23" s="33">
        <v>22.0</v>
      </c>
      <c r="B23" s="27">
        <v>46110.0</v>
      </c>
      <c r="C23" s="28" t="s">
        <v>91</v>
      </c>
      <c r="D23" s="29">
        <v>150000.0</v>
      </c>
      <c r="E23" s="30" t="s">
        <v>35</v>
      </c>
      <c r="F23" s="30" t="s">
        <v>36</v>
      </c>
      <c r="G23" s="30" t="s">
        <v>37</v>
      </c>
      <c r="H23" s="30" t="s">
        <v>27</v>
      </c>
    </row>
    <row r="24">
      <c r="A24" s="33">
        <v>23.0</v>
      </c>
      <c r="B24" s="27">
        <v>46111.0</v>
      </c>
      <c r="C24" s="28" t="s">
        <v>92</v>
      </c>
      <c r="D24" s="29">
        <v>30000.0</v>
      </c>
      <c r="E24" s="30" t="s">
        <v>35</v>
      </c>
      <c r="F24" s="30" t="s">
        <v>36</v>
      </c>
      <c r="G24" s="30" t="s">
        <v>40</v>
      </c>
      <c r="H24" s="30" t="s">
        <v>26</v>
      </c>
    </row>
    <row r="25">
      <c r="A25" s="33">
        <v>24.0</v>
      </c>
      <c r="B25" s="27">
        <v>46111.0</v>
      </c>
      <c r="C25" s="28" t="s">
        <v>93</v>
      </c>
      <c r="D25" s="29">
        <v>480000.0</v>
      </c>
      <c r="E25" s="30" t="s">
        <v>35</v>
      </c>
      <c r="F25" s="30" t="s">
        <v>36</v>
      </c>
      <c r="G25" s="30" t="s">
        <v>42</v>
      </c>
      <c r="H25" s="30" t="s">
        <v>24</v>
      </c>
    </row>
    <row r="26">
      <c r="A26" s="33">
        <v>25.0</v>
      </c>
      <c r="B26" s="27">
        <v>46112.0</v>
      </c>
      <c r="C26" s="28" t="s">
        <v>94</v>
      </c>
      <c r="D26" s="29">
        <v>7500000.0</v>
      </c>
      <c r="E26" s="30" t="s">
        <v>53</v>
      </c>
      <c r="F26" s="30" t="s">
        <v>36</v>
      </c>
      <c r="G26" s="30" t="s">
        <v>37</v>
      </c>
      <c r="H26" s="30" t="s">
        <v>27</v>
      </c>
    </row>
    <row r="27">
      <c r="A27" s="33">
        <v>26.0</v>
      </c>
      <c r="B27" s="27">
        <v>46113.0</v>
      </c>
      <c r="C27" s="28" t="s">
        <v>95</v>
      </c>
      <c r="D27" s="29">
        <v>6000000.0</v>
      </c>
      <c r="E27" s="30" t="s">
        <v>35</v>
      </c>
      <c r="F27" s="30" t="s">
        <v>36</v>
      </c>
      <c r="G27" s="30" t="s">
        <v>40</v>
      </c>
      <c r="H27" s="30" t="s">
        <v>25</v>
      </c>
    </row>
    <row r="28">
      <c r="A28" s="33">
        <v>27.0</v>
      </c>
      <c r="B28" s="27">
        <v>46113.0</v>
      </c>
      <c r="C28" s="28" t="s">
        <v>96</v>
      </c>
      <c r="D28" s="29">
        <v>3500000.0</v>
      </c>
      <c r="E28" s="30" t="s">
        <v>35</v>
      </c>
      <c r="F28" s="30" t="s">
        <v>36</v>
      </c>
      <c r="G28" s="30" t="s">
        <v>37</v>
      </c>
      <c r="H28" s="30" t="s">
        <v>24</v>
      </c>
    </row>
    <row r="29">
      <c r="A29" s="33">
        <v>28.0</v>
      </c>
      <c r="B29" s="27">
        <v>46114.0</v>
      </c>
      <c r="C29" s="28" t="s">
        <v>97</v>
      </c>
      <c r="D29" s="29">
        <v>100000.0</v>
      </c>
      <c r="E29" s="30" t="s">
        <v>35</v>
      </c>
      <c r="F29" s="30" t="s">
        <v>36</v>
      </c>
      <c r="G29" s="30" t="s">
        <v>42</v>
      </c>
      <c r="H29" s="30" t="s">
        <v>26</v>
      </c>
    </row>
    <row r="30">
      <c r="A30" s="33">
        <v>29.0</v>
      </c>
      <c r="B30" s="27">
        <v>46114.0</v>
      </c>
      <c r="C30" s="28" t="s">
        <v>98</v>
      </c>
      <c r="D30" s="29">
        <v>280000.0</v>
      </c>
      <c r="E30" s="30" t="s">
        <v>35</v>
      </c>
      <c r="F30" s="30" t="s">
        <v>36</v>
      </c>
      <c r="G30" s="30" t="s">
        <v>37</v>
      </c>
      <c r="H30" s="30" t="s">
        <v>27</v>
      </c>
    </row>
    <row r="31">
      <c r="A31" s="33">
        <v>30.0</v>
      </c>
      <c r="B31" s="27">
        <v>46115.0</v>
      </c>
      <c r="C31" s="28" t="s">
        <v>99</v>
      </c>
      <c r="D31" s="29">
        <v>550000.0</v>
      </c>
      <c r="E31" s="30" t="s">
        <v>35</v>
      </c>
      <c r="F31" s="30" t="s">
        <v>36</v>
      </c>
      <c r="G31" s="30" t="s">
        <v>37</v>
      </c>
      <c r="H31" s="30" t="s">
        <v>24</v>
      </c>
    </row>
    <row r="32">
      <c r="A32" s="33">
        <v>31.0</v>
      </c>
      <c r="B32" s="27">
        <v>46115.0</v>
      </c>
      <c r="C32" s="28" t="s">
        <v>100</v>
      </c>
      <c r="D32" s="29">
        <v>60000.0</v>
      </c>
      <c r="E32" s="30" t="s">
        <v>35</v>
      </c>
      <c r="F32" s="30" t="s">
        <v>36</v>
      </c>
      <c r="G32" s="30" t="s">
        <v>25</v>
      </c>
      <c r="H32" s="32" t="s">
        <v>25</v>
      </c>
    </row>
    <row r="33">
      <c r="A33" s="33">
        <v>32.0</v>
      </c>
      <c r="B33" s="27">
        <v>46116.0</v>
      </c>
      <c r="C33" s="28" t="s">
        <v>101</v>
      </c>
      <c r="D33" s="29">
        <v>90000.0</v>
      </c>
      <c r="E33" s="30" t="s">
        <v>35</v>
      </c>
      <c r="F33" s="30" t="s">
        <v>36</v>
      </c>
      <c r="G33" s="30" t="s">
        <v>42</v>
      </c>
      <c r="H33" s="30" t="s">
        <v>26</v>
      </c>
    </row>
    <row r="34">
      <c r="A34" s="33">
        <v>33.0</v>
      </c>
      <c r="B34" s="27">
        <v>46116.0</v>
      </c>
      <c r="C34" s="28" t="s">
        <v>102</v>
      </c>
      <c r="D34" s="29">
        <v>45000.0</v>
      </c>
      <c r="E34" s="30" t="s">
        <v>35</v>
      </c>
      <c r="F34" s="30" t="s">
        <v>36</v>
      </c>
      <c r="G34" s="30" t="s">
        <v>37</v>
      </c>
      <c r="H34" s="30" t="s">
        <v>24</v>
      </c>
    </row>
    <row r="35">
      <c r="A35" s="33">
        <v>34.0</v>
      </c>
      <c r="B35" s="27">
        <v>46117.0</v>
      </c>
      <c r="C35" s="28" t="s">
        <v>103</v>
      </c>
      <c r="D35" s="29">
        <v>260000.0</v>
      </c>
      <c r="E35" s="30" t="s">
        <v>35</v>
      </c>
      <c r="F35" s="30" t="s">
        <v>36</v>
      </c>
      <c r="G35" s="30" t="s">
        <v>37</v>
      </c>
      <c r="H35" s="30" t="s">
        <v>27</v>
      </c>
    </row>
    <row r="36">
      <c r="A36" s="33">
        <v>35.0</v>
      </c>
      <c r="B36" s="27">
        <v>46117.0</v>
      </c>
      <c r="C36" s="28" t="s">
        <v>104</v>
      </c>
      <c r="D36" s="29">
        <v>1200000.0</v>
      </c>
      <c r="E36" s="30" t="s">
        <v>35</v>
      </c>
      <c r="F36" s="30" t="s">
        <v>36</v>
      </c>
      <c r="G36" s="30" t="s">
        <v>40</v>
      </c>
      <c r="H36" s="30" t="s">
        <v>25</v>
      </c>
    </row>
    <row r="37">
      <c r="A37" s="33">
        <v>36.0</v>
      </c>
      <c r="B37" s="27">
        <v>46118.0</v>
      </c>
      <c r="C37" s="28" t="s">
        <v>105</v>
      </c>
      <c r="D37" s="29">
        <v>400000.0</v>
      </c>
      <c r="E37" s="30" t="s">
        <v>35</v>
      </c>
      <c r="F37" s="30" t="s">
        <v>36</v>
      </c>
      <c r="G37" s="30" t="s">
        <v>37</v>
      </c>
      <c r="H37" s="30" t="s">
        <v>26</v>
      </c>
    </row>
    <row r="38">
      <c r="A38" s="33">
        <v>37.0</v>
      </c>
      <c r="B38" s="27">
        <v>46119.0</v>
      </c>
      <c r="C38" s="28" t="s">
        <v>106</v>
      </c>
      <c r="D38" s="29">
        <v>900000.0</v>
      </c>
      <c r="E38" s="30" t="s">
        <v>35</v>
      </c>
      <c r="F38" s="30" t="s">
        <v>36</v>
      </c>
      <c r="G38" s="30" t="s">
        <v>37</v>
      </c>
      <c r="H38" s="30" t="s">
        <v>24</v>
      </c>
    </row>
    <row r="39">
      <c r="A39" s="33">
        <v>38.0</v>
      </c>
      <c r="B39" s="27">
        <v>46119.0</v>
      </c>
      <c r="C39" s="28" t="s">
        <v>107</v>
      </c>
      <c r="D39" s="29">
        <v>110000.0</v>
      </c>
      <c r="E39" s="30" t="s">
        <v>35</v>
      </c>
      <c r="F39" s="30" t="s">
        <v>36</v>
      </c>
      <c r="G39" s="30" t="s">
        <v>42</v>
      </c>
      <c r="H39" s="30" t="s">
        <v>25</v>
      </c>
    </row>
    <row r="40">
      <c r="A40" s="33">
        <v>39.0</v>
      </c>
      <c r="B40" s="27">
        <v>46120.0</v>
      </c>
      <c r="C40" s="28" t="s">
        <v>108</v>
      </c>
      <c r="D40" s="29">
        <v>1000000.0</v>
      </c>
      <c r="E40" s="30" t="s">
        <v>53</v>
      </c>
      <c r="F40" s="30" t="s">
        <v>36</v>
      </c>
      <c r="G40" s="30" t="s">
        <v>37</v>
      </c>
      <c r="H40" s="30" t="s">
        <v>27</v>
      </c>
    </row>
    <row r="41">
      <c r="A41" s="33">
        <v>40.0</v>
      </c>
      <c r="B41" s="27">
        <v>46120.0</v>
      </c>
      <c r="C41" s="28" t="s">
        <v>109</v>
      </c>
      <c r="D41" s="29">
        <v>500000.0</v>
      </c>
      <c r="E41" s="30" t="s">
        <v>35</v>
      </c>
      <c r="F41" s="30" t="s">
        <v>36</v>
      </c>
      <c r="G41" s="30" t="s">
        <v>40</v>
      </c>
      <c r="H41" s="30" t="s">
        <v>25</v>
      </c>
    </row>
    <row r="42">
      <c r="A42" s="33">
        <v>41.0</v>
      </c>
      <c r="B42" s="27">
        <v>46121.0</v>
      </c>
      <c r="C42" s="28" t="s">
        <v>110</v>
      </c>
      <c r="D42" s="29">
        <v>170000.0</v>
      </c>
      <c r="E42" s="30" t="s">
        <v>35</v>
      </c>
      <c r="F42" s="30" t="s">
        <v>36</v>
      </c>
      <c r="G42" s="30" t="s">
        <v>37</v>
      </c>
      <c r="H42" s="30" t="s">
        <v>24</v>
      </c>
    </row>
    <row r="43">
      <c r="A43" s="33">
        <v>42.0</v>
      </c>
      <c r="B43" s="27">
        <v>46121.0</v>
      </c>
      <c r="C43" s="28" t="s">
        <v>111</v>
      </c>
      <c r="D43" s="29">
        <v>40000.0</v>
      </c>
      <c r="E43" s="30" t="s">
        <v>35</v>
      </c>
      <c r="F43" s="30" t="s">
        <v>36</v>
      </c>
      <c r="G43" s="30" t="s">
        <v>37</v>
      </c>
      <c r="H43" s="30" t="s">
        <v>26</v>
      </c>
    </row>
    <row r="44">
      <c r="A44" s="33">
        <v>43.0</v>
      </c>
      <c r="B44" s="27">
        <v>46122.0</v>
      </c>
      <c r="C44" s="28" t="s">
        <v>112</v>
      </c>
      <c r="D44" s="29">
        <v>200000.0</v>
      </c>
      <c r="E44" s="30" t="s">
        <v>35</v>
      </c>
      <c r="F44" s="30" t="s">
        <v>36</v>
      </c>
      <c r="G44" s="30" t="s">
        <v>37</v>
      </c>
      <c r="H44" s="30" t="s">
        <v>27</v>
      </c>
    </row>
    <row r="45">
      <c r="A45" s="33">
        <v>44.0</v>
      </c>
      <c r="B45" s="27">
        <v>46122.0</v>
      </c>
      <c r="C45" s="28" t="s">
        <v>113</v>
      </c>
      <c r="D45" s="29">
        <v>70000.0</v>
      </c>
      <c r="E45" s="30" t="s">
        <v>35</v>
      </c>
      <c r="F45" s="30" t="s">
        <v>36</v>
      </c>
      <c r="G45" s="30" t="s">
        <v>25</v>
      </c>
      <c r="H45" s="32" t="s">
        <v>26</v>
      </c>
    </row>
    <row r="46">
      <c r="A46" s="33">
        <v>45.0</v>
      </c>
      <c r="B46" s="27">
        <v>46123.0</v>
      </c>
      <c r="C46" s="28" t="s">
        <v>114</v>
      </c>
      <c r="D46" s="29">
        <v>1.5E7</v>
      </c>
      <c r="E46" s="30" t="s">
        <v>53</v>
      </c>
      <c r="F46" s="30" t="s">
        <v>36</v>
      </c>
      <c r="G46" s="30" t="s">
        <v>26</v>
      </c>
      <c r="H46" s="32" t="s">
        <v>26</v>
      </c>
    </row>
    <row r="47">
      <c r="A47" s="33">
        <v>46.0</v>
      </c>
      <c r="B47" s="27">
        <v>46123.0</v>
      </c>
      <c r="C47" s="28" t="s">
        <v>115</v>
      </c>
      <c r="D47" s="29">
        <v>130000.0</v>
      </c>
      <c r="E47" s="30" t="s">
        <v>35</v>
      </c>
      <c r="F47" s="30" t="s">
        <v>36</v>
      </c>
      <c r="G47" s="30" t="s">
        <v>42</v>
      </c>
      <c r="H47" s="30" t="s">
        <v>24</v>
      </c>
    </row>
    <row r="48">
      <c r="A48" s="33">
        <v>47.0</v>
      </c>
      <c r="B48" s="27">
        <v>46124.0</v>
      </c>
      <c r="C48" s="28" t="s">
        <v>116</v>
      </c>
      <c r="D48" s="29">
        <v>60000.0</v>
      </c>
      <c r="E48" s="30" t="s">
        <v>35</v>
      </c>
      <c r="F48" s="30" t="s">
        <v>36</v>
      </c>
      <c r="G48" s="30" t="s">
        <v>40</v>
      </c>
      <c r="H48" s="30" t="s">
        <v>26</v>
      </c>
    </row>
    <row r="49">
      <c r="A49" s="33">
        <v>48.0</v>
      </c>
      <c r="B49" s="27">
        <v>46124.0</v>
      </c>
      <c r="C49" s="28" t="s">
        <v>117</v>
      </c>
      <c r="D49" s="29">
        <v>750000.0</v>
      </c>
      <c r="E49" s="30" t="s">
        <v>35</v>
      </c>
      <c r="F49" s="30" t="s">
        <v>36</v>
      </c>
      <c r="G49" s="30" t="s">
        <v>25</v>
      </c>
      <c r="H49" s="32" t="s">
        <v>24</v>
      </c>
    </row>
    <row r="50">
      <c r="A50" s="33">
        <v>49.0</v>
      </c>
      <c r="B50" s="27">
        <v>46125.0</v>
      </c>
      <c r="C50" s="28" t="s">
        <v>118</v>
      </c>
      <c r="D50" s="29">
        <v>120000.0</v>
      </c>
      <c r="E50" s="30" t="s">
        <v>35</v>
      </c>
      <c r="F50" s="30" t="s">
        <v>36</v>
      </c>
      <c r="G50" s="30" t="s">
        <v>37</v>
      </c>
      <c r="H50" s="30" t="s">
        <v>26</v>
      </c>
    </row>
    <row r="51">
      <c r="A51" s="33">
        <v>50.0</v>
      </c>
      <c r="B51" s="27">
        <v>46125.0</v>
      </c>
      <c r="C51" s="28" t="s">
        <v>119</v>
      </c>
      <c r="D51" s="29">
        <v>270000.0</v>
      </c>
      <c r="E51" s="30" t="s">
        <v>35</v>
      </c>
      <c r="F51" s="30" t="s">
        <v>36</v>
      </c>
      <c r="G51" s="30" t="s">
        <v>37</v>
      </c>
      <c r="H51" s="30" t="s">
        <v>27</v>
      </c>
    </row>
    <row r="52">
      <c r="A52" s="33">
        <v>51.0</v>
      </c>
      <c r="B52" s="27">
        <v>46126.0</v>
      </c>
      <c r="C52" s="28" t="s">
        <v>120</v>
      </c>
      <c r="D52" s="29">
        <v>2200000.0</v>
      </c>
      <c r="E52" s="30" t="s">
        <v>35</v>
      </c>
      <c r="F52" s="30" t="s">
        <v>36</v>
      </c>
      <c r="G52" s="30" t="s">
        <v>42</v>
      </c>
      <c r="H52" s="30" t="s">
        <v>24</v>
      </c>
    </row>
    <row r="53">
      <c r="A53" s="33">
        <v>52.0</v>
      </c>
      <c r="B53" s="27">
        <v>46126.0</v>
      </c>
      <c r="C53" s="28" t="s">
        <v>121</v>
      </c>
      <c r="D53" s="29">
        <v>350000.0</v>
      </c>
      <c r="E53" s="30" t="s">
        <v>35</v>
      </c>
      <c r="F53" s="30" t="s">
        <v>36</v>
      </c>
      <c r="G53" s="30" t="s">
        <v>40</v>
      </c>
      <c r="H53" s="30" t="s">
        <v>25</v>
      </c>
    </row>
    <row r="54">
      <c r="A54" s="33">
        <v>53.0</v>
      </c>
      <c r="B54" s="27">
        <v>46127.0</v>
      </c>
      <c r="C54" s="28" t="s">
        <v>122</v>
      </c>
      <c r="D54" s="29">
        <v>4000000.0</v>
      </c>
      <c r="E54" s="30" t="s">
        <v>53</v>
      </c>
      <c r="F54" s="30" t="s">
        <v>36</v>
      </c>
      <c r="G54" s="30" t="s">
        <v>37</v>
      </c>
      <c r="H54" s="30" t="s">
        <v>27</v>
      </c>
    </row>
    <row r="55">
      <c r="A55" s="33">
        <v>54.0</v>
      </c>
      <c r="B55" s="27">
        <v>46127.0</v>
      </c>
      <c r="C55" s="28" t="s">
        <v>123</v>
      </c>
      <c r="D55" s="29">
        <v>150000.0</v>
      </c>
      <c r="E55" s="30" t="s">
        <v>35</v>
      </c>
      <c r="F55" s="30" t="s">
        <v>36</v>
      </c>
      <c r="G55" s="30" t="s">
        <v>40</v>
      </c>
      <c r="H55" s="30" t="s">
        <v>26</v>
      </c>
    </row>
    <row r="56">
      <c r="A56" s="33">
        <v>55.0</v>
      </c>
      <c r="B56" s="27">
        <v>46128.0</v>
      </c>
      <c r="C56" s="28" t="s">
        <v>124</v>
      </c>
      <c r="D56" s="29">
        <v>420000.0</v>
      </c>
      <c r="E56" s="30" t="s">
        <v>35</v>
      </c>
      <c r="F56" s="30" t="s">
        <v>36</v>
      </c>
      <c r="G56" s="30" t="s">
        <v>37</v>
      </c>
      <c r="H56" s="30" t="s">
        <v>24</v>
      </c>
    </row>
    <row r="57">
      <c r="A57" s="33">
        <v>56.0</v>
      </c>
      <c r="B57" s="27">
        <v>46128.0</v>
      </c>
      <c r="C57" s="28" t="s">
        <v>125</v>
      </c>
      <c r="D57" s="29">
        <v>85000.0</v>
      </c>
      <c r="E57" s="30" t="s">
        <v>35</v>
      </c>
      <c r="F57" s="30" t="s">
        <v>36</v>
      </c>
      <c r="G57" s="30" t="s">
        <v>42</v>
      </c>
      <c r="H57" s="30" t="s">
        <v>25</v>
      </c>
    </row>
    <row r="58">
      <c r="A58" s="33">
        <v>57.0</v>
      </c>
      <c r="B58" s="27">
        <v>46129.0</v>
      </c>
      <c r="C58" s="28" t="s">
        <v>126</v>
      </c>
      <c r="D58" s="29">
        <v>150000.0</v>
      </c>
      <c r="E58" s="30" t="s">
        <v>53</v>
      </c>
      <c r="F58" s="30" t="s">
        <v>36</v>
      </c>
      <c r="G58" s="30" t="s">
        <v>24</v>
      </c>
      <c r="H58" s="32" t="s">
        <v>26</v>
      </c>
    </row>
    <row r="59">
      <c r="A59" s="33">
        <v>58.0</v>
      </c>
      <c r="B59" s="27">
        <v>46129.0</v>
      </c>
      <c r="C59" s="28" t="s">
        <v>127</v>
      </c>
      <c r="D59" s="29">
        <v>50000.0</v>
      </c>
      <c r="E59" s="30" t="s">
        <v>35</v>
      </c>
      <c r="F59" s="30" t="s">
        <v>36</v>
      </c>
      <c r="G59" s="30" t="s">
        <v>37</v>
      </c>
      <c r="H59" s="30" t="s">
        <v>26</v>
      </c>
    </row>
    <row r="60">
      <c r="A60" s="33">
        <v>59.0</v>
      </c>
      <c r="B60" s="27">
        <v>46130.0</v>
      </c>
      <c r="C60" s="28" t="s">
        <v>128</v>
      </c>
      <c r="D60" s="29">
        <v>580000.0</v>
      </c>
      <c r="E60" s="30" t="s">
        <v>35</v>
      </c>
      <c r="F60" s="30" t="s">
        <v>36</v>
      </c>
      <c r="G60" s="30" t="s">
        <v>42</v>
      </c>
      <c r="H60" s="30" t="s">
        <v>24</v>
      </c>
    </row>
    <row r="61">
      <c r="A61" s="33">
        <v>60.0</v>
      </c>
      <c r="B61" s="27">
        <v>46130.0</v>
      </c>
      <c r="C61" s="28" t="s">
        <v>129</v>
      </c>
      <c r="D61" s="29">
        <v>300000.0</v>
      </c>
      <c r="E61" s="30" t="s">
        <v>35</v>
      </c>
      <c r="F61" s="30" t="s">
        <v>36</v>
      </c>
      <c r="G61" s="30" t="s">
        <v>37</v>
      </c>
      <c r="H61" s="30" t="s">
        <v>27</v>
      </c>
    </row>
    <row r="62">
      <c r="A62" s="33">
        <v>61.0</v>
      </c>
      <c r="B62" s="27">
        <v>46131.0</v>
      </c>
      <c r="C62" s="28" t="s">
        <v>130</v>
      </c>
      <c r="D62" s="29">
        <v>100000.0</v>
      </c>
      <c r="E62" s="30" t="s">
        <v>35</v>
      </c>
      <c r="F62" s="30" t="s">
        <v>36</v>
      </c>
      <c r="G62" s="30" t="s">
        <v>25</v>
      </c>
      <c r="H62" s="32" t="s">
        <v>25</v>
      </c>
    </row>
    <row r="63">
      <c r="A63" s="33">
        <v>62.0</v>
      </c>
      <c r="B63" s="27">
        <v>46131.0</v>
      </c>
      <c r="C63" s="28" t="s">
        <v>131</v>
      </c>
      <c r="D63" s="29">
        <v>35000.0</v>
      </c>
      <c r="E63" s="30" t="s">
        <v>35</v>
      </c>
      <c r="F63" s="30" t="s">
        <v>36</v>
      </c>
      <c r="G63" s="30" t="s">
        <v>40</v>
      </c>
      <c r="H63" s="30" t="s">
        <v>26</v>
      </c>
    </row>
    <row r="64">
      <c r="A64" s="33">
        <v>63.0</v>
      </c>
      <c r="B64" s="27">
        <v>46132.0</v>
      </c>
      <c r="C64" s="28" t="s">
        <v>132</v>
      </c>
      <c r="D64" s="29">
        <v>210000.0</v>
      </c>
      <c r="E64" s="30" t="s">
        <v>35</v>
      </c>
      <c r="F64" s="30" t="s">
        <v>36</v>
      </c>
      <c r="G64" s="30" t="s">
        <v>37</v>
      </c>
      <c r="H64" s="30" t="s">
        <v>24</v>
      </c>
    </row>
    <row r="65">
      <c r="A65" s="33">
        <v>64.0</v>
      </c>
      <c r="B65" s="27">
        <v>46132.0</v>
      </c>
      <c r="C65" s="28" t="s">
        <v>133</v>
      </c>
      <c r="D65" s="29">
        <v>650000.0</v>
      </c>
      <c r="E65" s="30" t="s">
        <v>35</v>
      </c>
      <c r="F65" s="30" t="s">
        <v>36</v>
      </c>
      <c r="G65" s="30" t="s">
        <v>42</v>
      </c>
      <c r="H65" s="30" t="s">
        <v>25</v>
      </c>
    </row>
    <row r="66">
      <c r="A66" s="33">
        <v>65.0</v>
      </c>
      <c r="B66" s="27">
        <v>46133.0</v>
      </c>
      <c r="C66" s="28" t="s">
        <v>134</v>
      </c>
      <c r="D66" s="29">
        <v>150000.0</v>
      </c>
      <c r="E66" s="30" t="s">
        <v>35</v>
      </c>
      <c r="F66" s="30" t="s">
        <v>36</v>
      </c>
      <c r="G66" s="30" t="s">
        <v>37</v>
      </c>
      <c r="H66" s="30" t="s">
        <v>27</v>
      </c>
    </row>
    <row r="67">
      <c r="A67" s="33">
        <v>66.0</v>
      </c>
      <c r="B67" s="27">
        <v>46133.0</v>
      </c>
      <c r="C67" s="28" t="s">
        <v>135</v>
      </c>
      <c r="D67" s="29">
        <v>90000.0</v>
      </c>
      <c r="E67" s="30" t="s">
        <v>35</v>
      </c>
      <c r="F67" s="30" t="s">
        <v>36</v>
      </c>
      <c r="G67" s="30" t="s">
        <v>42</v>
      </c>
      <c r="H67" s="30" t="s">
        <v>24</v>
      </c>
    </row>
    <row r="68">
      <c r="A68" s="33">
        <v>67.0</v>
      </c>
      <c r="B68" s="27">
        <v>46134.0</v>
      </c>
      <c r="C68" s="28" t="s">
        <v>136</v>
      </c>
      <c r="D68" s="29">
        <v>900000.0</v>
      </c>
      <c r="E68" s="30" t="s">
        <v>35</v>
      </c>
      <c r="F68" s="30" t="s">
        <v>36</v>
      </c>
      <c r="G68" s="30" t="s">
        <v>40</v>
      </c>
      <c r="H68" s="30" t="s">
        <v>26</v>
      </c>
    </row>
    <row r="69">
      <c r="A69" s="33">
        <v>68.0</v>
      </c>
      <c r="B69" s="27">
        <v>46134.0</v>
      </c>
      <c r="C69" s="28" t="s">
        <v>137</v>
      </c>
      <c r="D69" s="29">
        <v>40000.0</v>
      </c>
      <c r="E69" s="30" t="s">
        <v>35</v>
      </c>
      <c r="F69" s="30" t="s">
        <v>36</v>
      </c>
      <c r="G69" s="30" t="s">
        <v>37</v>
      </c>
      <c r="H69" s="30" t="s">
        <v>25</v>
      </c>
    </row>
    <row r="70">
      <c r="A70" s="33">
        <v>69.0</v>
      </c>
      <c r="B70" s="27">
        <v>46135.0</v>
      </c>
      <c r="C70" s="28" t="s">
        <v>138</v>
      </c>
      <c r="D70" s="29">
        <v>240000.0</v>
      </c>
      <c r="E70" s="30" t="s">
        <v>35</v>
      </c>
      <c r="F70" s="30" t="s">
        <v>36</v>
      </c>
      <c r="G70" s="30" t="s">
        <v>37</v>
      </c>
      <c r="H70" s="30" t="s">
        <v>27</v>
      </c>
    </row>
    <row r="71">
      <c r="A71" s="33">
        <v>70.0</v>
      </c>
      <c r="B71" s="27">
        <v>46135.0</v>
      </c>
      <c r="C71" s="28" t="s">
        <v>139</v>
      </c>
      <c r="D71" s="29">
        <v>70000.0</v>
      </c>
      <c r="E71" s="30" t="s">
        <v>35</v>
      </c>
      <c r="F71" s="30" t="s">
        <v>36</v>
      </c>
      <c r="G71" s="30" t="s">
        <v>42</v>
      </c>
      <c r="H71" s="30" t="s">
        <v>24</v>
      </c>
    </row>
    <row r="72">
      <c r="A72" s="33">
        <v>71.0</v>
      </c>
      <c r="B72" s="27">
        <v>46136.0</v>
      </c>
      <c r="C72" s="28" t="s">
        <v>140</v>
      </c>
      <c r="D72" s="29">
        <v>1500000.0</v>
      </c>
      <c r="E72" s="30" t="s">
        <v>35</v>
      </c>
      <c r="F72" s="30" t="s">
        <v>36</v>
      </c>
      <c r="G72" s="30" t="s">
        <v>40</v>
      </c>
      <c r="H72" s="30" t="s">
        <v>25</v>
      </c>
    </row>
    <row r="73">
      <c r="A73" s="33">
        <v>72.0</v>
      </c>
      <c r="B73" s="27">
        <v>46136.0</v>
      </c>
      <c r="C73" s="28" t="s">
        <v>141</v>
      </c>
      <c r="D73" s="29">
        <v>110000.0</v>
      </c>
      <c r="E73" s="30" t="s">
        <v>35</v>
      </c>
      <c r="F73" s="30" t="s">
        <v>36</v>
      </c>
      <c r="G73" s="30" t="s">
        <v>37</v>
      </c>
      <c r="H73" s="30" t="s">
        <v>26</v>
      </c>
    </row>
    <row r="74">
      <c r="A74" s="33">
        <v>73.0</v>
      </c>
      <c r="B74" s="27">
        <v>46137.0</v>
      </c>
      <c r="C74" s="28" t="s">
        <v>142</v>
      </c>
      <c r="D74" s="29">
        <v>600000.0</v>
      </c>
      <c r="E74" s="30" t="s">
        <v>35</v>
      </c>
      <c r="F74" s="30" t="s">
        <v>36</v>
      </c>
      <c r="G74" s="30" t="s">
        <v>37</v>
      </c>
      <c r="H74" s="30" t="s">
        <v>24</v>
      </c>
    </row>
    <row r="75">
      <c r="A75" s="33">
        <v>74.0</v>
      </c>
      <c r="B75" s="27">
        <v>46137.0</v>
      </c>
      <c r="C75" s="28" t="s">
        <v>143</v>
      </c>
      <c r="D75" s="29">
        <v>290000.0</v>
      </c>
      <c r="E75" s="30" t="s">
        <v>35</v>
      </c>
      <c r="F75" s="30" t="s">
        <v>36</v>
      </c>
      <c r="G75" s="30" t="s">
        <v>37</v>
      </c>
      <c r="H75" s="30" t="s">
        <v>27</v>
      </c>
    </row>
    <row r="76">
      <c r="A76" s="33">
        <v>75.0</v>
      </c>
      <c r="B76" s="27">
        <v>46138.0</v>
      </c>
      <c r="C76" s="28" t="s">
        <v>144</v>
      </c>
      <c r="D76" s="29">
        <v>30000.0</v>
      </c>
      <c r="E76" s="30" t="s">
        <v>35</v>
      </c>
      <c r="F76" s="30" t="s">
        <v>36</v>
      </c>
      <c r="G76" s="30" t="s">
        <v>42</v>
      </c>
      <c r="H76" s="30" t="s">
        <v>25</v>
      </c>
    </row>
    <row r="77">
      <c r="A77" s="33">
        <v>76.0</v>
      </c>
      <c r="B77" s="27">
        <v>46138.0</v>
      </c>
      <c r="C77" s="28" t="s">
        <v>145</v>
      </c>
      <c r="D77" s="29">
        <v>80000.0</v>
      </c>
      <c r="E77" s="30" t="s">
        <v>35</v>
      </c>
      <c r="F77" s="30" t="s">
        <v>36</v>
      </c>
      <c r="G77" s="30" t="s">
        <v>37</v>
      </c>
      <c r="H77" s="30" t="s">
        <v>26</v>
      </c>
    </row>
    <row r="78">
      <c r="A78" s="33">
        <v>77.0</v>
      </c>
      <c r="B78" s="27">
        <v>46139.0</v>
      </c>
      <c r="C78" s="28" t="s">
        <v>146</v>
      </c>
      <c r="D78" s="29">
        <v>55000.0</v>
      </c>
      <c r="E78" s="30" t="s">
        <v>35</v>
      </c>
      <c r="F78" s="30" t="s">
        <v>36</v>
      </c>
      <c r="G78" s="30" t="s">
        <v>37</v>
      </c>
      <c r="H78" s="30" t="s">
        <v>24</v>
      </c>
    </row>
    <row r="79">
      <c r="A79" s="33">
        <v>78.0</v>
      </c>
      <c r="B79" s="27">
        <v>46139.0</v>
      </c>
      <c r="C79" s="28" t="s">
        <v>147</v>
      </c>
      <c r="D79" s="29">
        <v>200000.0</v>
      </c>
      <c r="E79" s="30" t="s">
        <v>35</v>
      </c>
      <c r="F79" s="30" t="s">
        <v>36</v>
      </c>
      <c r="G79" s="30" t="s">
        <v>40</v>
      </c>
      <c r="H79" s="30" t="s">
        <v>25</v>
      </c>
    </row>
    <row r="80">
      <c r="A80" s="33">
        <v>79.0</v>
      </c>
      <c r="B80" s="27">
        <v>46140.0</v>
      </c>
      <c r="C80" s="28" t="s">
        <v>148</v>
      </c>
      <c r="D80" s="29">
        <v>5500000.0</v>
      </c>
      <c r="E80" s="30" t="s">
        <v>53</v>
      </c>
      <c r="F80" s="30" t="s">
        <v>36</v>
      </c>
      <c r="G80" s="30" t="s">
        <v>37</v>
      </c>
      <c r="H80" s="30" t="s">
        <v>27</v>
      </c>
    </row>
    <row r="81">
      <c r="A81" s="33">
        <v>80.0</v>
      </c>
      <c r="B81" s="27">
        <v>46140.0</v>
      </c>
      <c r="C81" s="28" t="s">
        <v>149</v>
      </c>
      <c r="D81" s="29">
        <v>100000.0</v>
      </c>
      <c r="E81" s="30" t="s">
        <v>35</v>
      </c>
      <c r="F81" s="30" t="s">
        <v>36</v>
      </c>
      <c r="G81" s="30" t="s">
        <v>42</v>
      </c>
      <c r="H81" s="30" t="s">
        <v>26</v>
      </c>
    </row>
    <row r="82">
      <c r="A82" s="33">
        <v>81.0</v>
      </c>
      <c r="B82" s="27">
        <v>46141.0</v>
      </c>
      <c r="C82" s="28" t="s">
        <v>150</v>
      </c>
      <c r="D82" s="29">
        <v>150000.0</v>
      </c>
      <c r="E82" s="30" t="s">
        <v>35</v>
      </c>
      <c r="F82" s="30" t="s">
        <v>36</v>
      </c>
      <c r="G82" s="30" t="s">
        <v>37</v>
      </c>
      <c r="H82" s="30" t="s">
        <v>24</v>
      </c>
    </row>
    <row r="83">
      <c r="A83" s="33">
        <v>82.0</v>
      </c>
      <c r="B83" s="27">
        <v>46141.0</v>
      </c>
      <c r="C83" s="28" t="s">
        <v>151</v>
      </c>
      <c r="D83" s="29">
        <v>1.2E7</v>
      </c>
      <c r="E83" s="30" t="s">
        <v>35</v>
      </c>
      <c r="F83" s="30" t="s">
        <v>36</v>
      </c>
      <c r="G83" s="30" t="s">
        <v>40</v>
      </c>
      <c r="H83" s="30" t="s">
        <v>25</v>
      </c>
    </row>
    <row r="84">
      <c r="A84" s="33">
        <v>83.0</v>
      </c>
      <c r="B84" s="27">
        <v>46142.0</v>
      </c>
      <c r="C84" s="28" t="s">
        <v>152</v>
      </c>
      <c r="D84" s="29">
        <v>3000000.0</v>
      </c>
      <c r="E84" s="30" t="s">
        <v>35</v>
      </c>
      <c r="F84" s="30" t="s">
        <v>36</v>
      </c>
      <c r="G84" s="30" t="s">
        <v>40</v>
      </c>
      <c r="H84" s="30" t="s">
        <v>25</v>
      </c>
    </row>
    <row r="85">
      <c r="A85" s="33">
        <v>84.0</v>
      </c>
      <c r="B85" s="27">
        <v>46142.0</v>
      </c>
      <c r="C85" s="28" t="s">
        <v>153</v>
      </c>
      <c r="D85" s="29">
        <v>275000.0</v>
      </c>
      <c r="E85" s="30" t="s">
        <v>35</v>
      </c>
      <c r="F85" s="30" t="s">
        <v>36</v>
      </c>
      <c r="G85" s="30" t="s">
        <v>37</v>
      </c>
      <c r="H85" s="30" t="s">
        <v>27</v>
      </c>
    </row>
    <row r="86">
      <c r="A86" s="33">
        <v>85.0</v>
      </c>
      <c r="B86" s="27">
        <v>46143.0</v>
      </c>
      <c r="C86" s="28" t="s">
        <v>154</v>
      </c>
      <c r="D86" s="29">
        <v>450000.0</v>
      </c>
      <c r="E86" s="30" t="s">
        <v>35</v>
      </c>
      <c r="F86" s="30" t="s">
        <v>36</v>
      </c>
      <c r="G86" s="30" t="s">
        <v>42</v>
      </c>
      <c r="H86" s="30" t="s">
        <v>26</v>
      </c>
    </row>
    <row r="87">
      <c r="A87" s="33">
        <v>86.0</v>
      </c>
      <c r="B87" s="27">
        <v>46143.0</v>
      </c>
      <c r="C87" s="28" t="s">
        <v>155</v>
      </c>
      <c r="D87" s="29">
        <v>850000.0</v>
      </c>
      <c r="E87" s="30" t="s">
        <v>35</v>
      </c>
      <c r="F87" s="30" t="s">
        <v>36</v>
      </c>
      <c r="G87" s="30" t="s">
        <v>37</v>
      </c>
      <c r="H87" s="30" t="s">
        <v>24</v>
      </c>
    </row>
    <row r="88">
      <c r="A88" s="33">
        <v>87.0</v>
      </c>
      <c r="B88" s="27">
        <v>46144.0</v>
      </c>
      <c r="C88" s="28" t="s">
        <v>156</v>
      </c>
      <c r="D88" s="29">
        <v>400000.0</v>
      </c>
      <c r="E88" s="30" t="s">
        <v>35</v>
      </c>
      <c r="F88" s="30" t="s">
        <v>36</v>
      </c>
      <c r="G88" s="30" t="s">
        <v>40</v>
      </c>
      <c r="H88" s="30" t="s">
        <v>25</v>
      </c>
    </row>
    <row r="89">
      <c r="A89" s="33">
        <v>88.0</v>
      </c>
      <c r="B89" s="27">
        <v>46144.0</v>
      </c>
      <c r="C89" s="28" t="s">
        <v>157</v>
      </c>
      <c r="D89" s="29">
        <v>150000.0</v>
      </c>
      <c r="E89" s="30" t="s">
        <v>35</v>
      </c>
      <c r="F89" s="30" t="s">
        <v>36</v>
      </c>
      <c r="G89" s="30" t="s">
        <v>37</v>
      </c>
      <c r="H89" s="30" t="s">
        <v>26</v>
      </c>
    </row>
    <row r="90">
      <c r="A90" s="33">
        <v>89.0</v>
      </c>
      <c r="B90" s="27">
        <v>46145.0</v>
      </c>
      <c r="C90" s="28" t="s">
        <v>158</v>
      </c>
      <c r="D90" s="29">
        <v>230000.0</v>
      </c>
      <c r="E90" s="30" t="s">
        <v>35</v>
      </c>
      <c r="F90" s="30" t="s">
        <v>36</v>
      </c>
      <c r="G90" s="30" t="s">
        <v>37</v>
      </c>
      <c r="H90" s="30" t="s">
        <v>27</v>
      </c>
    </row>
    <row r="91">
      <c r="A91" s="33">
        <v>90.0</v>
      </c>
      <c r="B91" s="27">
        <v>46145.0</v>
      </c>
      <c r="C91" s="28" t="s">
        <v>159</v>
      </c>
      <c r="D91" s="29">
        <v>1800000.0</v>
      </c>
      <c r="E91" s="30" t="s">
        <v>35</v>
      </c>
      <c r="F91" s="30" t="s">
        <v>36</v>
      </c>
      <c r="G91" s="30" t="s">
        <v>42</v>
      </c>
      <c r="H91" s="30" t="s">
        <v>24</v>
      </c>
    </row>
    <row r="92">
      <c r="A92" s="33">
        <v>91.0</v>
      </c>
      <c r="B92" s="27">
        <v>46146.0</v>
      </c>
      <c r="C92" s="28" t="s">
        <v>160</v>
      </c>
      <c r="D92" s="29">
        <v>300000.0</v>
      </c>
      <c r="E92" s="30" t="s">
        <v>35</v>
      </c>
      <c r="F92" s="30" t="s">
        <v>36</v>
      </c>
      <c r="G92" s="30" t="s">
        <v>37</v>
      </c>
      <c r="H92" s="30" t="s">
        <v>26</v>
      </c>
    </row>
    <row r="93">
      <c r="A93" s="33">
        <v>92.0</v>
      </c>
      <c r="B93" s="27">
        <v>46146.0</v>
      </c>
      <c r="C93" s="28" t="s">
        <v>161</v>
      </c>
      <c r="D93" s="29">
        <v>500000.0</v>
      </c>
      <c r="E93" s="30" t="s">
        <v>35</v>
      </c>
      <c r="F93" s="30" t="s">
        <v>36</v>
      </c>
      <c r="G93" s="30" t="s">
        <v>40</v>
      </c>
      <c r="H93" s="30" t="s">
        <v>25</v>
      </c>
    </row>
    <row r="94">
      <c r="A94" s="33">
        <v>93.0</v>
      </c>
      <c r="B94" s="27">
        <v>46147.0</v>
      </c>
      <c r="C94" s="28" t="s">
        <v>162</v>
      </c>
      <c r="D94" s="29">
        <v>700000.0</v>
      </c>
      <c r="E94" s="30" t="s">
        <v>35</v>
      </c>
      <c r="F94" s="30" t="s">
        <v>36</v>
      </c>
      <c r="G94" s="30" t="s">
        <v>40</v>
      </c>
      <c r="H94" s="30" t="s">
        <v>27</v>
      </c>
    </row>
    <row r="95">
      <c r="A95" s="33">
        <v>94.0</v>
      </c>
      <c r="B95" s="27">
        <v>46147.0</v>
      </c>
      <c r="C95" s="28" t="s">
        <v>163</v>
      </c>
      <c r="D95" s="29">
        <v>120000.0</v>
      </c>
      <c r="E95" s="30" t="s">
        <v>35</v>
      </c>
      <c r="F95" s="30" t="s">
        <v>36</v>
      </c>
      <c r="G95" s="30" t="s">
        <v>37</v>
      </c>
      <c r="H95" s="30" t="s">
        <v>24</v>
      </c>
    </row>
    <row r="96">
      <c r="A96" s="33">
        <v>95.0</v>
      </c>
      <c r="B96" s="27">
        <v>46148.0</v>
      </c>
      <c r="C96" s="28" t="s">
        <v>164</v>
      </c>
      <c r="D96" s="29">
        <v>2000000.0</v>
      </c>
      <c r="E96" s="30" t="s">
        <v>35</v>
      </c>
      <c r="F96" s="30" t="s">
        <v>36</v>
      </c>
      <c r="G96" s="30" t="s">
        <v>40</v>
      </c>
      <c r="H96" s="30" t="s">
        <v>26</v>
      </c>
    </row>
    <row r="97">
      <c r="A97" s="33">
        <v>96.0</v>
      </c>
      <c r="B97" s="27">
        <v>46148.0</v>
      </c>
      <c r="C97" s="28" t="s">
        <v>165</v>
      </c>
      <c r="D97" s="29">
        <v>1500000.0</v>
      </c>
      <c r="E97" s="30" t="s">
        <v>35</v>
      </c>
      <c r="F97" s="30" t="s">
        <v>36</v>
      </c>
      <c r="G97" s="30" t="s">
        <v>42</v>
      </c>
      <c r="H97" s="30" t="s">
        <v>25</v>
      </c>
    </row>
    <row r="98">
      <c r="A98" s="33">
        <v>97.0</v>
      </c>
      <c r="B98" s="27">
        <v>46149.0</v>
      </c>
      <c r="C98" s="28" t="s">
        <v>166</v>
      </c>
      <c r="D98" s="29">
        <v>310000.0</v>
      </c>
      <c r="E98" s="30" t="s">
        <v>35</v>
      </c>
      <c r="F98" s="30" t="s">
        <v>36</v>
      </c>
      <c r="G98" s="30" t="s">
        <v>37</v>
      </c>
      <c r="H98" s="30" t="s">
        <v>27</v>
      </c>
    </row>
    <row r="99">
      <c r="A99" s="33">
        <v>98.0</v>
      </c>
      <c r="B99" s="27">
        <v>46149.0</v>
      </c>
      <c r="C99" s="28" t="s">
        <v>167</v>
      </c>
      <c r="D99" s="29">
        <v>950000.0</v>
      </c>
      <c r="E99" s="30" t="s">
        <v>35</v>
      </c>
      <c r="F99" s="30" t="s">
        <v>36</v>
      </c>
      <c r="G99" s="30" t="s">
        <v>37</v>
      </c>
      <c r="H99" s="30" t="s">
        <v>24</v>
      </c>
    </row>
    <row r="100">
      <c r="A100" s="33">
        <v>99.0</v>
      </c>
      <c r="B100" s="27">
        <v>46150.0</v>
      </c>
      <c r="C100" s="28" t="s">
        <v>168</v>
      </c>
      <c r="D100" s="29">
        <v>180000.0</v>
      </c>
      <c r="E100" s="30" t="s">
        <v>35</v>
      </c>
      <c r="F100" s="30" t="s">
        <v>36</v>
      </c>
      <c r="G100" s="30" t="s">
        <v>42</v>
      </c>
      <c r="H100" s="30" t="s">
        <v>26</v>
      </c>
    </row>
    <row r="101">
      <c r="A101" s="33">
        <v>100.0</v>
      </c>
      <c r="B101" s="27">
        <v>46150.0</v>
      </c>
      <c r="C101" s="28" t="s">
        <v>169</v>
      </c>
      <c r="D101" s="29">
        <v>2.5E7</v>
      </c>
      <c r="E101" s="30" t="s">
        <v>53</v>
      </c>
      <c r="F101" s="30" t="s">
        <v>36</v>
      </c>
      <c r="G101" s="30" t="s">
        <v>26</v>
      </c>
      <c r="H101" s="32" t="s">
        <v>24</v>
      </c>
    </row>
    <row r="102">
      <c r="A102" s="3">
        <v>101.0</v>
      </c>
      <c r="B102" s="34">
        <v>46015.0</v>
      </c>
      <c r="C102" s="3" t="s">
        <v>170</v>
      </c>
      <c r="D102" s="23">
        <v>5000000.0</v>
      </c>
      <c r="E102" s="3" t="s">
        <v>35</v>
      </c>
      <c r="F102" s="3" t="s">
        <v>36</v>
      </c>
      <c r="G102" s="3" t="s">
        <v>37</v>
      </c>
      <c r="H102" s="3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4.5"/>
    <col customWidth="1" min="3" max="3" width="37.63"/>
    <col customWidth="1" min="4" max="4" width="13.5"/>
    <col customWidth="1" min="5" max="5" width="12.25"/>
    <col customWidth="1" min="6" max="6" width="19.25"/>
    <col customWidth="1" min="7" max="7" width="13.5"/>
    <col customWidth="1" min="8" max="8" width="15.5"/>
  </cols>
  <sheetData>
    <row r="1">
      <c r="A1" s="24" t="s">
        <v>12</v>
      </c>
      <c r="B1" s="24" t="s">
        <v>28</v>
      </c>
      <c r="C1" s="25" t="s">
        <v>29</v>
      </c>
      <c r="D1" s="24" t="s">
        <v>30</v>
      </c>
      <c r="E1" s="24" t="s">
        <v>31</v>
      </c>
      <c r="F1" s="24" t="s">
        <v>32</v>
      </c>
      <c r="G1" s="24" t="s">
        <v>33</v>
      </c>
      <c r="H1" s="24" t="s">
        <v>22</v>
      </c>
    </row>
    <row r="2">
      <c r="A2" s="26">
        <v>1.0</v>
      </c>
      <c r="B2" s="27">
        <v>46166.0</v>
      </c>
      <c r="C2" s="28" t="s">
        <v>171</v>
      </c>
      <c r="D2" s="29">
        <v>1800000.0</v>
      </c>
      <c r="E2" s="30" t="s">
        <v>35</v>
      </c>
      <c r="F2" s="30" t="s">
        <v>36</v>
      </c>
      <c r="G2" s="30" t="s">
        <v>42</v>
      </c>
      <c r="H2" s="30" t="s">
        <v>24</v>
      </c>
    </row>
    <row r="3">
      <c r="A3" s="26">
        <v>2.0</v>
      </c>
      <c r="B3" s="27">
        <v>46166.0</v>
      </c>
      <c r="C3" s="28" t="s">
        <v>172</v>
      </c>
      <c r="D3" s="29">
        <v>300000.0</v>
      </c>
      <c r="E3" s="30" t="s">
        <v>35</v>
      </c>
      <c r="F3" s="30" t="s">
        <v>36</v>
      </c>
      <c r="G3" s="30" t="s">
        <v>37</v>
      </c>
      <c r="H3" s="30" t="s">
        <v>27</v>
      </c>
    </row>
    <row r="4">
      <c r="A4" s="26">
        <v>3.0</v>
      </c>
      <c r="B4" s="27">
        <v>46167.0</v>
      </c>
      <c r="C4" s="28" t="s">
        <v>173</v>
      </c>
      <c r="D4" s="29">
        <v>600000.0</v>
      </c>
      <c r="E4" s="30" t="s">
        <v>35</v>
      </c>
      <c r="F4" s="30" t="s">
        <v>36</v>
      </c>
      <c r="G4" s="30" t="s">
        <v>40</v>
      </c>
      <c r="H4" s="30" t="s">
        <v>25</v>
      </c>
    </row>
    <row r="5">
      <c r="A5" s="26">
        <v>4.0</v>
      </c>
      <c r="B5" s="27">
        <v>46167.0</v>
      </c>
      <c r="C5" s="28" t="s">
        <v>174</v>
      </c>
      <c r="D5" s="29">
        <v>45000.0</v>
      </c>
      <c r="E5" s="30" t="s">
        <v>35</v>
      </c>
      <c r="F5" s="30" t="s">
        <v>36</v>
      </c>
      <c r="G5" s="30" t="s">
        <v>37</v>
      </c>
      <c r="H5" s="30" t="s">
        <v>26</v>
      </c>
    </row>
    <row r="6">
      <c r="A6" s="26">
        <v>5.0</v>
      </c>
      <c r="B6" s="27">
        <v>46168.0</v>
      </c>
      <c r="C6" s="28" t="s">
        <v>175</v>
      </c>
      <c r="D6" s="29">
        <v>110000.0</v>
      </c>
      <c r="E6" s="30" t="s">
        <v>35</v>
      </c>
      <c r="F6" s="30" t="s">
        <v>36</v>
      </c>
      <c r="G6" s="30" t="s">
        <v>37</v>
      </c>
      <c r="H6" s="30" t="s">
        <v>24</v>
      </c>
    </row>
    <row r="7">
      <c r="A7" s="26">
        <v>6.0</v>
      </c>
      <c r="B7" s="27">
        <v>46168.0</v>
      </c>
      <c r="C7" s="28" t="s">
        <v>176</v>
      </c>
      <c r="D7" s="29">
        <v>150000.0</v>
      </c>
      <c r="E7" s="30" t="s">
        <v>35</v>
      </c>
      <c r="F7" s="30" t="s">
        <v>36</v>
      </c>
      <c r="G7" s="30" t="s">
        <v>42</v>
      </c>
      <c r="H7" s="30" t="s">
        <v>26</v>
      </c>
    </row>
    <row r="8">
      <c r="A8" s="26">
        <v>7.0</v>
      </c>
      <c r="B8" s="27">
        <v>46169.0</v>
      </c>
      <c r="C8" s="28" t="s">
        <v>177</v>
      </c>
      <c r="D8" s="29">
        <v>180000.0</v>
      </c>
      <c r="E8" s="30" t="s">
        <v>35</v>
      </c>
      <c r="F8" s="30" t="s">
        <v>36</v>
      </c>
      <c r="G8" s="30" t="s">
        <v>40</v>
      </c>
      <c r="H8" s="30" t="s">
        <v>25</v>
      </c>
    </row>
    <row r="9">
      <c r="A9" s="26">
        <v>8.0</v>
      </c>
      <c r="B9" s="27">
        <v>46169.0</v>
      </c>
      <c r="C9" s="28" t="s">
        <v>178</v>
      </c>
      <c r="D9" s="29">
        <v>4500000.0</v>
      </c>
      <c r="E9" s="30" t="s">
        <v>53</v>
      </c>
      <c r="F9" s="30" t="s">
        <v>36</v>
      </c>
      <c r="G9" s="30" t="s">
        <v>37</v>
      </c>
      <c r="H9" s="30" t="s">
        <v>27</v>
      </c>
    </row>
    <row r="10">
      <c r="A10" s="26">
        <v>9.0</v>
      </c>
      <c r="B10" s="27">
        <v>46170.0</v>
      </c>
      <c r="C10" s="28" t="s">
        <v>179</v>
      </c>
      <c r="D10" s="29">
        <v>700000.0</v>
      </c>
      <c r="E10" s="30" t="s">
        <v>35</v>
      </c>
      <c r="F10" s="30" t="s">
        <v>36</v>
      </c>
      <c r="G10" s="30" t="s">
        <v>37</v>
      </c>
      <c r="H10" s="30" t="s">
        <v>24</v>
      </c>
    </row>
    <row r="11">
      <c r="A11" s="26">
        <v>10.0</v>
      </c>
      <c r="B11" s="27">
        <v>46170.0</v>
      </c>
      <c r="C11" s="28" t="s">
        <v>180</v>
      </c>
      <c r="D11" s="29">
        <v>90000.0</v>
      </c>
      <c r="E11" s="30" t="s">
        <v>35</v>
      </c>
      <c r="F11" s="30" t="s">
        <v>36</v>
      </c>
      <c r="G11" s="30" t="s">
        <v>42</v>
      </c>
      <c r="H11" s="30" t="s">
        <v>26</v>
      </c>
    </row>
    <row r="12">
      <c r="A12" s="26">
        <v>11.0</v>
      </c>
      <c r="B12" s="27">
        <v>46171.0</v>
      </c>
      <c r="C12" s="28" t="s">
        <v>181</v>
      </c>
      <c r="D12" s="29">
        <v>9000000.0</v>
      </c>
      <c r="E12" s="30" t="s">
        <v>35</v>
      </c>
      <c r="F12" s="30" t="s">
        <v>36</v>
      </c>
      <c r="G12" s="30" t="s">
        <v>40</v>
      </c>
      <c r="H12" s="30" t="s">
        <v>25</v>
      </c>
    </row>
    <row r="13">
      <c r="A13" s="26">
        <v>12.0</v>
      </c>
      <c r="B13" s="27">
        <v>46171.0</v>
      </c>
      <c r="C13" s="28" t="s">
        <v>182</v>
      </c>
      <c r="D13" s="29">
        <v>220000.0</v>
      </c>
      <c r="E13" s="30" t="s">
        <v>35</v>
      </c>
      <c r="F13" s="30" t="s">
        <v>36</v>
      </c>
      <c r="G13" s="30" t="s">
        <v>37</v>
      </c>
      <c r="H13" s="30" t="s">
        <v>27</v>
      </c>
    </row>
    <row r="14">
      <c r="A14" s="26">
        <v>13.0</v>
      </c>
      <c r="B14" s="27">
        <v>46172.0</v>
      </c>
      <c r="C14" s="28" t="s">
        <v>183</v>
      </c>
      <c r="D14" s="29">
        <v>550000.0</v>
      </c>
      <c r="E14" s="30" t="s">
        <v>35</v>
      </c>
      <c r="F14" s="30" t="s">
        <v>36</v>
      </c>
      <c r="G14" s="30" t="s">
        <v>37</v>
      </c>
      <c r="H14" s="30" t="s">
        <v>24</v>
      </c>
    </row>
    <row r="15">
      <c r="A15" s="26">
        <v>14.0</v>
      </c>
      <c r="B15" s="27">
        <v>46172.0</v>
      </c>
      <c r="C15" s="28" t="s">
        <v>184</v>
      </c>
      <c r="D15" s="29">
        <v>300000.0</v>
      </c>
      <c r="E15" s="30" t="s">
        <v>35</v>
      </c>
      <c r="F15" s="30" t="s">
        <v>36</v>
      </c>
      <c r="G15" s="30" t="s">
        <v>37</v>
      </c>
      <c r="H15" s="30" t="s">
        <v>26</v>
      </c>
    </row>
    <row r="16">
      <c r="A16" s="26">
        <v>15.0</v>
      </c>
      <c r="B16" s="27">
        <v>46173.0</v>
      </c>
      <c r="C16" s="28" t="s">
        <v>185</v>
      </c>
      <c r="D16" s="29">
        <v>3200000.0</v>
      </c>
      <c r="E16" s="30" t="s">
        <v>35</v>
      </c>
      <c r="F16" s="30" t="s">
        <v>36</v>
      </c>
      <c r="G16" s="30" t="s">
        <v>40</v>
      </c>
      <c r="H16" s="30" t="s">
        <v>27</v>
      </c>
    </row>
    <row r="17">
      <c r="A17" s="26">
        <v>16.0</v>
      </c>
      <c r="B17" s="27">
        <v>46174.0</v>
      </c>
      <c r="C17" s="28" t="s">
        <v>186</v>
      </c>
      <c r="D17" s="29">
        <v>850000.0</v>
      </c>
      <c r="E17" s="30" t="s">
        <v>35</v>
      </c>
      <c r="F17" s="30" t="s">
        <v>36</v>
      </c>
      <c r="G17" s="30" t="s">
        <v>42</v>
      </c>
      <c r="H17" s="30" t="s">
        <v>24</v>
      </c>
    </row>
    <row r="18">
      <c r="A18" s="26">
        <v>17.0</v>
      </c>
      <c r="B18" s="27">
        <v>46174.0</v>
      </c>
      <c r="C18" s="28" t="s">
        <v>187</v>
      </c>
      <c r="D18" s="29">
        <v>1500000.0</v>
      </c>
      <c r="E18" s="30" t="s">
        <v>35</v>
      </c>
      <c r="F18" s="30" t="s">
        <v>36</v>
      </c>
      <c r="G18" s="30" t="s">
        <v>37</v>
      </c>
      <c r="H18" s="30" t="s">
        <v>25</v>
      </c>
    </row>
    <row r="19">
      <c r="A19" s="26">
        <v>18.0</v>
      </c>
      <c r="B19" s="27">
        <v>46175.0</v>
      </c>
      <c r="C19" s="28" t="s">
        <v>188</v>
      </c>
      <c r="D19" s="29">
        <v>250000.0</v>
      </c>
      <c r="E19" s="30" t="s">
        <v>35</v>
      </c>
      <c r="F19" s="30" t="s">
        <v>36</v>
      </c>
      <c r="G19" s="30" t="s">
        <v>40</v>
      </c>
      <c r="H19" s="30" t="s">
        <v>26</v>
      </c>
    </row>
    <row r="20">
      <c r="A20" s="26">
        <v>19.0</v>
      </c>
      <c r="B20" s="27">
        <v>46175.0</v>
      </c>
      <c r="C20" s="28" t="s">
        <v>189</v>
      </c>
      <c r="D20" s="29">
        <v>280000.0</v>
      </c>
      <c r="E20" s="30" t="s">
        <v>35</v>
      </c>
      <c r="F20" s="30" t="s">
        <v>36</v>
      </c>
      <c r="G20" s="30" t="s">
        <v>37</v>
      </c>
      <c r="H20" s="30" t="s">
        <v>27</v>
      </c>
    </row>
    <row r="21">
      <c r="A21" s="26">
        <v>20.0</v>
      </c>
      <c r="B21" s="27">
        <v>46176.0</v>
      </c>
      <c r="C21" s="28" t="s">
        <v>190</v>
      </c>
      <c r="D21" s="29">
        <v>1200000.0</v>
      </c>
      <c r="E21" s="30" t="s">
        <v>35</v>
      </c>
      <c r="F21" s="30" t="s">
        <v>36</v>
      </c>
      <c r="G21" s="30" t="s">
        <v>42</v>
      </c>
      <c r="H21" s="30" t="s">
        <v>24</v>
      </c>
    </row>
    <row r="22">
      <c r="A22" s="26">
        <v>21.0</v>
      </c>
      <c r="B22" s="27">
        <v>46176.0</v>
      </c>
      <c r="C22" s="28" t="s">
        <v>191</v>
      </c>
      <c r="D22" s="29">
        <v>5000000.0</v>
      </c>
      <c r="E22" s="30" t="s">
        <v>35</v>
      </c>
      <c r="F22" s="30" t="s">
        <v>36</v>
      </c>
      <c r="G22" s="30" t="s">
        <v>40</v>
      </c>
      <c r="H22" s="30" t="s">
        <v>25</v>
      </c>
    </row>
    <row r="23">
      <c r="A23" s="26">
        <v>22.0</v>
      </c>
      <c r="B23" s="27">
        <v>46177.0</v>
      </c>
      <c r="C23" s="28" t="s">
        <v>192</v>
      </c>
      <c r="D23" s="29">
        <v>1000000.0</v>
      </c>
      <c r="E23" s="30" t="s">
        <v>35</v>
      </c>
      <c r="F23" s="30" t="s">
        <v>36</v>
      </c>
      <c r="G23" s="30" t="s">
        <v>37</v>
      </c>
      <c r="H23" s="30" t="s">
        <v>26</v>
      </c>
    </row>
    <row r="24">
      <c r="A24" s="26">
        <v>23.0</v>
      </c>
      <c r="B24" s="27">
        <v>46177.0</v>
      </c>
      <c r="C24" s="28" t="s">
        <v>193</v>
      </c>
      <c r="D24" s="29">
        <v>1500000.0</v>
      </c>
      <c r="E24" s="30" t="s">
        <v>53</v>
      </c>
      <c r="F24" s="30" t="s">
        <v>36</v>
      </c>
      <c r="G24" s="30" t="s">
        <v>37</v>
      </c>
      <c r="H24" s="30" t="s">
        <v>27</v>
      </c>
    </row>
    <row r="25">
      <c r="A25" s="26">
        <v>24.0</v>
      </c>
      <c r="B25" s="27">
        <v>46178.0</v>
      </c>
      <c r="C25" s="28" t="s">
        <v>194</v>
      </c>
      <c r="D25" s="29">
        <v>75000.0</v>
      </c>
      <c r="E25" s="30" t="s">
        <v>35</v>
      </c>
      <c r="F25" s="30" t="s">
        <v>36</v>
      </c>
      <c r="G25" s="30" t="s">
        <v>37</v>
      </c>
      <c r="H25" s="30" t="s">
        <v>24</v>
      </c>
    </row>
    <row r="26">
      <c r="A26" s="26">
        <v>25.0</v>
      </c>
      <c r="B26" s="27">
        <v>46178.0</v>
      </c>
      <c r="C26" s="28" t="s">
        <v>195</v>
      </c>
      <c r="D26" s="29">
        <v>3500000.0</v>
      </c>
      <c r="E26" s="30" t="s">
        <v>35</v>
      </c>
      <c r="F26" s="30" t="s">
        <v>36</v>
      </c>
      <c r="G26" s="30" t="s">
        <v>42</v>
      </c>
      <c r="H26" s="30" t="s">
        <v>25</v>
      </c>
    </row>
    <row r="27">
      <c r="A27" s="26">
        <v>26.0</v>
      </c>
      <c r="B27" s="27">
        <v>46179.0</v>
      </c>
      <c r="C27" s="28" t="s">
        <v>196</v>
      </c>
      <c r="D27" s="29">
        <v>700000.0</v>
      </c>
      <c r="E27" s="30" t="s">
        <v>35</v>
      </c>
      <c r="F27" s="30" t="s">
        <v>36</v>
      </c>
      <c r="G27" s="30" t="s">
        <v>40</v>
      </c>
      <c r="H27" s="30" t="s">
        <v>26</v>
      </c>
    </row>
    <row r="28">
      <c r="A28" s="26">
        <v>27.0</v>
      </c>
      <c r="B28" s="27">
        <v>46179.0</v>
      </c>
      <c r="C28" s="28" t="s">
        <v>197</v>
      </c>
      <c r="D28" s="29">
        <v>310000.0</v>
      </c>
      <c r="E28" s="30" t="s">
        <v>35</v>
      </c>
      <c r="F28" s="30" t="s">
        <v>36</v>
      </c>
      <c r="G28" s="30" t="s">
        <v>37</v>
      </c>
      <c r="H28" s="30" t="s">
        <v>27</v>
      </c>
    </row>
    <row r="29">
      <c r="A29" s="26">
        <v>28.0</v>
      </c>
      <c r="B29" s="27">
        <v>46180.0</v>
      </c>
      <c r="C29" s="28" t="s">
        <v>198</v>
      </c>
      <c r="D29" s="29">
        <v>400000.0</v>
      </c>
      <c r="E29" s="30" t="s">
        <v>35</v>
      </c>
      <c r="F29" s="30" t="s">
        <v>36</v>
      </c>
      <c r="G29" s="30" t="s">
        <v>42</v>
      </c>
      <c r="H29" s="30" t="s">
        <v>25</v>
      </c>
    </row>
    <row r="30">
      <c r="A30" s="26">
        <v>29.0</v>
      </c>
      <c r="B30" s="27">
        <v>46180.0</v>
      </c>
      <c r="C30" s="28" t="s">
        <v>199</v>
      </c>
      <c r="D30" s="29">
        <v>2.0E7</v>
      </c>
      <c r="E30" s="30" t="s">
        <v>53</v>
      </c>
      <c r="F30" s="30" t="s">
        <v>36</v>
      </c>
      <c r="G30" s="30" t="s">
        <v>40</v>
      </c>
      <c r="H30" s="30" t="s">
        <v>26</v>
      </c>
    </row>
    <row r="31">
      <c r="A31" s="26">
        <v>30.0</v>
      </c>
      <c r="B31" s="27">
        <v>46181.0</v>
      </c>
      <c r="C31" s="28" t="s">
        <v>200</v>
      </c>
      <c r="D31" s="29">
        <v>60000.0</v>
      </c>
      <c r="E31" s="30" t="s">
        <v>35</v>
      </c>
      <c r="F31" s="30" t="s">
        <v>36</v>
      </c>
      <c r="G31" s="30" t="s">
        <v>37</v>
      </c>
      <c r="H31" s="30" t="s">
        <v>24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201</v>
      </c>
      <c r="B1" s="35" t="s">
        <v>202</v>
      </c>
      <c r="C1" s="35" t="s">
        <v>203</v>
      </c>
      <c r="D1" s="35" t="s">
        <v>204</v>
      </c>
    </row>
    <row r="2">
      <c r="A2" s="23">
        <v>1.0</v>
      </c>
      <c r="B2" s="3" t="s">
        <v>18</v>
      </c>
      <c r="C2" s="36">
        <v>46015.38402777778</v>
      </c>
      <c r="D2" s="23">
        <v>0.0</v>
      </c>
    </row>
    <row r="3">
      <c r="A3" s="23">
        <v>2.0</v>
      </c>
      <c r="B3" s="3" t="s">
        <v>19</v>
      </c>
      <c r="C3" s="36">
        <v>46015.38402777778</v>
      </c>
      <c r="D3" s="23">
        <v>0.0</v>
      </c>
    </row>
    <row r="4">
      <c r="A4" s="23">
        <v>3.0</v>
      </c>
      <c r="B4" s="3" t="s">
        <v>20</v>
      </c>
      <c r="C4" s="36">
        <v>46015.38402777778</v>
      </c>
      <c r="D4" s="23">
        <v>0.0</v>
      </c>
    </row>
  </sheetData>
  <drawing r:id="rId1"/>
</worksheet>
</file>